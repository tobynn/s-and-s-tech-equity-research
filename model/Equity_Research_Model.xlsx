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b967e03ec14d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c9c5df39c3f4a77"/>
    <x:sheet xmlns:r="http://schemas.openxmlformats.org/officeDocument/2006/relationships" name="Actuals Sources" sheetId="2" r:id="Ra774eb2600e74280"/>
    <x:sheet xmlns:r="http://schemas.openxmlformats.org/officeDocument/2006/relationships" name="Inputs" sheetId="3" r:id="R3d0f437d121f4f06"/>
    <x:sheet xmlns:r="http://schemas.openxmlformats.org/officeDocument/2006/relationships" name="Forecast" sheetId="4" r:id="R9116deeda2aa45e7"/>
    <x:sheet xmlns:r="http://schemas.openxmlformats.org/officeDocument/2006/relationships" name="Cash Equity Bridge" sheetId="5" r:id="R07f7eca111ea4800"/>
    <x:sheet xmlns:r="http://schemas.openxmlformats.org/officeDocument/2006/relationships" name="DCF" sheetId="6" r:id="R47beb28eae5245c8"/>
    <x:sheet xmlns:r="http://schemas.openxmlformats.org/officeDocument/2006/relationships" name="RIM" sheetId="7" r:id="Rb8c76d79b13843ea"/>
    <x:sheet xmlns:r="http://schemas.openxmlformats.org/officeDocument/2006/relationships" name="PER" sheetId="8" r:id="Rbd00fbe78e0448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;(#,##0.0);&quot;-&quot;"/>
    <x:numFmt numFmtId="201" formatCode="0.0%"/>
    <x:numFmt numFmtId="202" formatCode="0.000000"/>
    <x:numFmt numFmtId="203" formatCode="#,##0"/>
  </x:numFmts>
  <x:fonts count="7">
    <x:font>
      <x:sz val="11"/>
      <x:name val="Carlito"/>
    </x:font>
    <x:font>
      <x:sz val="10"/>
      <x:color rgb="FF1B2535"/>
      <x:name val="NanumGothic"/>
    </x:font>
    <x:font>
      <x:b/>
      <x:sz val="15"/>
      <x:color rgb="FF126A73"/>
      <x:name val="NanumGothic"/>
    </x:font>
    <x:font>
      <x:sz val="10"/>
      <x:color rgb="FF127443"/>
      <x:name val="NanumGothic"/>
    </x:font>
    <x:font>
      <x:sz val="10"/>
      <x:color rgb="FF174FA8"/>
      <x:name val="NanumGothic"/>
    </x:font>
    <x:font>
      <x:b/>
      <x:sz val="14"/>
      <x:color rgb="FF1B2535"/>
      <x:name val="NanumGothic"/>
    </x:font>
    <x:font>
      <x:b/>
      <x:sz val="10"/>
      <x:color rgb="FFFFFFFF"/>
      <x:name val="NanumGothic"/>
    </x:font>
  </x:fonts>
  <x:fills count="3">
    <x:fill>
      <x:patternFill patternType="none"/>
    </x:fill>
    <x:fill>
      <x:patternFill patternType="gray125"/>
    </x:fill>
    <x:fill>
      <x:patternFill patternType="solid">
        <x:fgColor rgb="FF126A7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1" fontId="4" fillId="0" borderId="0" xfId="0" applyNumberFormat="1" applyFont="1" applyFill="1" applyBorder="1"/>
    <x:xf numFmtId="200" fontId="4" fillId="0" borderId="0" xfId="0" applyNumberFormat="1" applyFont="1" applyFill="1" applyBorder="1"/>
    <x:xf numFmtId="202" fontId="4" fillId="0" borderId="0" xfId="0" applyNumberFormat="1" applyFont="1" applyFill="1" applyBorder="1"/>
    <x:xf numFmtId="200" fontId="3" fillId="0" borderId="0" xfId="0" applyNumberFormat="1" applyFont="1" applyFill="1" applyBorder="1"/>
    <x:xf numFmtId="202" fontId="3" fillId="0" borderId="0" xfId="0" applyNumberFormat="1" applyFont="1" applyFill="1" applyBorder="1"/>
    <x:xf numFmtId="201" fontId="3" fillId="0" borderId="0" xfId="0" applyNumberFormat="1" applyFont="1" applyFill="1" applyBorder="1"/>
    <x:xf numFmtId="203" fontId="3" fillId="0" borderId="0" xfId="0" applyNumberFormat="1" applyFont="1" applyFill="1" applyBorder="1"/>
    <x:xf numFmtId="203" fontId="5" fillId="0" borderId="0" xfId="0" applyNumberFormat="1" applyFont="1" applyFill="1" applyBorder="1"/>
    <x:xf numFmtId="0" fontId="1" fillId="2" borderId="0" xfId="0" applyNumberFormat="1" applyFont="1" applyFill="1" applyBorder="1"/>
    <x:xf numFmtId="200" fontId="1" fillId="2" borderId="0" xfId="0" applyNumberFormat="1" applyFont="1" applyFill="1" applyBorder="1"/>
    <x:xf numFmtId="0" fontId="6" fillId="2" borderId="0" xfId="0" applyNumberFormat="1" applyFont="1" applyFill="1" applyBorder="1"/>
    <x:xf numFmtId="20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200" fontId="6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0f2b8d4ed6456f" /><Relationship Type="http://schemas.openxmlformats.org/officeDocument/2006/relationships/theme" Target="/xl/theme/theme1.xml" Id="R27622bce73534bb0" /><Relationship Type="http://schemas.openxmlformats.org/officeDocument/2006/relationships/sharedStrings" Target="/xl/sharedStrings.xml" Id="R274b44de756643c3" /><Relationship Type="http://schemas.openxmlformats.org/officeDocument/2006/relationships/worksheet" Target="/xl/worksheets/sheet1.xml" Id="R2c9c5df39c3f4a77" /><Relationship Type="http://schemas.openxmlformats.org/officeDocument/2006/relationships/worksheet" Target="/xl/worksheets/sheet2.xml" Id="Ra774eb2600e74280" /><Relationship Type="http://schemas.openxmlformats.org/officeDocument/2006/relationships/worksheet" Target="/xl/worksheets/sheet3.xml" Id="R3d0f437d121f4f06" /><Relationship Type="http://schemas.openxmlformats.org/officeDocument/2006/relationships/worksheet" Target="/xl/worksheets/sheet4.xml" Id="R9116deeda2aa45e7" /><Relationship Type="http://schemas.openxmlformats.org/officeDocument/2006/relationships/worksheet" Target="/xl/worksheets/sheet5.xml" Id="R07f7eca111ea4800" /><Relationship Type="http://schemas.openxmlformats.org/officeDocument/2006/relationships/worksheet" Target="/xl/worksheets/sheet6.xml" Id="R47beb28eae5245c8" /><Relationship Type="http://schemas.openxmlformats.org/officeDocument/2006/relationships/worksheet" Target="/xl/worksheets/sheet7.xml" Id="Rb8c76d79b13843ea" /><Relationship Type="http://schemas.openxmlformats.org/officeDocument/2006/relationships/worksheet" Target="/xl/worksheets/sheet8.xml" Id="Rbd00fbe78e0448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26A73"/>
  </x:sheetPr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6" hidden="0" customWidth="1"/>
    <x:col min="11" max="11" width="26" hidden="0" customWidth="1"/>
    <x:col min="12" max="12" width="2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에스앤에스텍 Equity Research</x:v>
      </x:c>
      <x:c r="D2" s="2"/>
      <x:c r="E2" s="2"/>
      <x:c r="F2" s="2"/>
      <x:c r="G2" s="2"/>
      <x:c r="H2" s="2"/>
      <x:c r="I2" s="2"/>
      <x:c r="J2" s="1"/>
      <x:c r="K2" s="1"/>
      <x:c r="L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 t="str">
        <x:v>Case selected</x:v>
      </x:c>
      <x:c r="D4" s="3" t="str">
        <x:f>Inputs!D3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</x:row>
    <x:row r="7" ht="27" customHeight="1">
      <x:c r="A7" s="1"/>
      <x:c r="B7" s="1"/>
      <x:c r="C7" s="18" t="str">
        <x:v>Method</x:v>
      </x:c>
      <x:c r="D7" s="18" t="str">
        <x:v>KRW / share</x:v>
      </x:c>
      <x:c r="E7" s="18" t="str">
        <x:v>Role</x:v>
      </x:c>
      <x:c r="F7" s="1"/>
      <x:c r="G7" s="1"/>
      <x:c r="H7" s="1"/>
      <x:c r="I7" s="1"/>
      <x:c r="J7" s="1"/>
      <x:c r="K7" s="1"/>
      <x:c r="L7" s="1"/>
    </x:row>
    <x:row r="8" ht="22" customHeight="1">
      <x:c r="A8" s="1"/>
      <x:c r="B8" s="1"/>
      <x:c r="C8" s="1" t="str">
        <x:v>DCF</x:v>
      </x:c>
      <x:c r="D8" s="13" t="n">
        <x:f>DCF!D26</x:f>
        <x:v>26105.995540067102</x:v>
      </x:c>
      <x:c r="E8" s="4" t="str">
        <x:v>2026 year-end scenario</x:v>
      </x:c>
      <x:c r="F8" s="4"/>
      <x:c r="G8" s="4"/>
      <x:c r="H8" s="4"/>
      <x:c r="I8" s="4"/>
      <x:c r="J8" s="1"/>
      <x:c r="K8" s="1"/>
      <x:c r="L8" s="1"/>
    </x:row>
    <x:row r="9" ht="22" customHeight="1">
      <x:c r="A9" s="1"/>
      <x:c r="B9" s="1"/>
      <x:c r="C9" s="1" t="str">
        <x:v>Normalized PER</x:v>
      </x:c>
      <x:c r="D9" s="13" t="n">
        <x:f>PER!D39</x:f>
        <x:v>20359.078302587986</x:v>
      </x:c>
      <x:c r="E9" s="4" t="str">
        <x:v>Fundamental multiple</x:v>
      </x:c>
      <x:c r="F9" s="4"/>
      <x:c r="G9" s="4"/>
      <x:c r="H9" s="4"/>
      <x:c r="I9" s="4"/>
      <x:c r="J9" s="1"/>
      <x:c r="K9" s="1"/>
      <x:c r="L9" s="1"/>
    </x:row>
    <x:row r="10" ht="22" customHeight="1">
      <x:c r="A10" s="1"/>
      <x:c r="B10" s="1"/>
      <x:c r="C10" s="1" t="str">
        <x:v>RIM</x:v>
      </x:c>
      <x:c r="D10" s="13" t="n">
        <x:f>RIM!D24</x:f>
        <x:v>19438.846622902478</x:v>
      </x:c>
      <x:c r="E10" s="4" t="str">
        <x:v>Excess return duration</x:v>
      </x:c>
      <x:c r="F10" s="4"/>
      <x:c r="G10" s="4"/>
      <x:c r="H10" s="4"/>
      <x:c r="I10" s="4"/>
      <x:c r="J10" s="1"/>
      <x:c r="K10" s="1"/>
      <x:c r="L10" s="1"/>
    </x:row>
    <x:row r="11" ht="22" customHeight="1">
      <x:c r="A11" s="1"/>
      <x:c r="B11" s="1"/>
      <x:c r="C11" s="1"/>
      <x:c r="D11" s="4"/>
      <x:c r="E11" s="4"/>
      <x:c r="F11" s="4"/>
      <x:c r="G11" s="4"/>
      <x:c r="H11" s="4"/>
      <x:c r="I11" s="4"/>
      <x:c r="J11" s="1"/>
      <x:c r="K11" s="1"/>
      <x:c r="L11" s="1"/>
    </x:row>
    <x:row r="12" ht="22" customHeight="1">
      <x:c r="A12" s="1"/>
      <x:c r="B12" s="1"/>
      <x:c r="C12" s="1"/>
      <x:c r="D12" s="4"/>
      <x:c r="E12" s="4"/>
      <x:c r="F12" s="4"/>
      <x:c r="G12" s="4"/>
      <x:c r="H12" s="4"/>
      <x:c r="I12" s="4"/>
      <x:c r="J12" s="1"/>
      <x:c r="K12" s="1"/>
      <x:c r="L12" s="1"/>
    </x:row>
    <x:row r="13" ht="22" customHeight="1">
      <x:c r="A13" s="1"/>
      <x:c r="B13" s="1"/>
      <x:c r="C13" s="1" t="str">
        <x:v>Valuation date</x:v>
      </x:c>
      <x:c r="D13" s="4" t="str">
        <x:v>2026-12-31E</x:v>
      </x:c>
      <x:c r="E13" s="4"/>
      <x:c r="F13" s="4"/>
      <x:c r="G13" s="4"/>
      <x:c r="H13" s="4"/>
      <x:c r="I13" s="4"/>
      <x:c r="J13" s="1"/>
      <x:c r="K13" s="1"/>
      <x:c r="L13" s="1"/>
    </x:row>
    <x:row r="14" ht="22" customHeight="1">
      <x:c r="A14" s="1"/>
      <x:c r="B14" s="1"/>
      <x:c r="C14" s="1" t="str">
        <x:v>Financial statements</x:v>
      </x:c>
      <x:c r="D14" s="4" t="str">
        <x:v>2026-06-30A</x:v>
      </x:c>
      <x:c r="E14" s="4"/>
      <x:c r="F14" s="4"/>
      <x:c r="G14" s="4"/>
      <x:c r="H14" s="4"/>
      <x:c r="I14" s="4"/>
      <x:c r="J14" s="1"/>
      <x:c r="K14" s="1"/>
      <x:c r="L14" s="1"/>
    </x:row>
    <x:row r="15" ht="22" customHeight="1">
      <x:c r="A15" s="1"/>
      <x:c r="B15" s="1"/>
      <x:c r="C15" s="1" t="str">
        <x:v>Report version</x:v>
      </x:c>
      <x:c r="D15" s="4" t="str">
        <x:v>2026-10-18 v2</x:v>
      </x:c>
      <x:c r="E15" s="4"/>
      <x:c r="F15" s="4"/>
      <x:c r="G15" s="4"/>
      <x:c r="H15" s="4"/>
      <x:c r="I15" s="4"/>
      <x:c r="J15" s="1"/>
      <x:c r="K15" s="1"/>
      <x:c r="L15" s="1"/>
    </x:row>
    <x:row r="16" ht="22" customHeight="1">
      <x:c r="A16" s="1"/>
      <x:c r="B16" s="1"/>
      <x:c r="C16" s="1" t="str">
        <x:v>Reference price date</x:v>
      </x:c>
      <x:c r="D16" s="4" t="str">
        <x:v>2026-10-16 NAVER</x:v>
      </x:c>
      <x:c r="E16" s="4"/>
      <x:c r="F16" s="4"/>
      <x:c r="G16" s="4"/>
      <x:c r="H16" s="4"/>
      <x:c r="I16" s="4"/>
      <x:c r="J16" s="1"/>
      <x:c r="K16" s="1"/>
      <x:c r="L16" s="1"/>
    </x:row>
    <x:row r="17" ht="22" customHeight="1">
      <x:c r="A17" s="1"/>
      <x:c r="B17" s="1"/>
      <x:c r="C17" s="1" t="str">
        <x:v>Reference close KRW</x:v>
      </x:c>
      <x:c r="D17" s="9" t="n">
        <x:f>Inputs!$D$25</x:f>
        <x:v>43250</x:v>
      </x:c>
      <x:c r="E17" s="4"/>
      <x:c r="F17" s="4"/>
      <x:c r="G17" s="4"/>
      <x:c r="H17" s="4"/>
      <x:c r="I17" s="4"/>
      <x:c r="J17" s="1"/>
      <x:c r="K17" s="1"/>
      <x:c r="L17" s="1"/>
    </x:row>
    <x:row r="18" ht="22" customHeight="1">
      <x:c r="A18" s="1"/>
      <x:c r="B18" s="1"/>
      <x:c r="C18" s="1" t="str">
        <x:v>DCF / reference close - 1</x:v>
      </x:c>
      <x:c r="D18" s="5" t="n">
        <x:f>D8/D17-1</x:f>
        <x:v>-0.39639316670365077</x:v>
      </x:c>
      <x:c r="E18" s="4"/>
      <x:c r="F18" s="4"/>
      <x:c r="G18" s="4"/>
      <x:c r="H18" s="4"/>
      <x:c r="I18" s="4"/>
      <x:c r="J18" s="1"/>
      <x:c r="K18" s="1"/>
      <x:c r="L18" s="1"/>
    </x:row>
    <x:row r="19" ht="22" customHeight="1">
      <x:c r="A19" s="1"/>
      <x:c r="B19" s="1"/>
      <x:c r="C19" s="1" t="str">
        <x:v>RIM / DDM difference</x:v>
      </x:c>
      <x:c r="D19" s="9" t="n">
        <x:f>RIM!D25</x:f>
        <x:v>2.2737367544323206e-13</x:v>
      </x:c>
      <x:c r="E19" s="4"/>
      <x:c r="F19" s="4"/>
      <x:c r="G19" s="4"/>
      <x:c r="H19" s="4"/>
      <x:c r="I19" s="4"/>
      <x:c r="J19" s="1"/>
      <x:c r="K19" s="1"/>
      <x:c r="L19" s="1"/>
    </x:row>
    <x:row r="20" ht="22" customHeight="1">
      <x:c r="A20" s="1"/>
      <x:c r="B20" s="1"/>
      <x:c r="C20" s="1"/>
      <x:c r="D20" s="4"/>
      <x:c r="E20" s="4"/>
      <x:c r="F20" s="4"/>
      <x:c r="G20" s="4"/>
      <x:c r="H20" s="4"/>
      <x:c r="I20" s="4"/>
      <x:c r="J20" s="1"/>
      <x:c r="K20" s="1"/>
      <x:c r="L20" s="1"/>
    </x:row>
    <x:row r="21" ht="22" customHeight="1">
      <x:c r="A21" s="1"/>
      <x:c r="B21" s="1"/>
      <x:c r="C21" s="1" t="str">
        <x:v>All forecast inputs are editable in Inputs.</x:v>
      </x:c>
      <x:c r="D21" s="4"/>
      <x:c r="E21" s="4"/>
      <x:c r="F21" s="4"/>
      <x:c r="G21" s="4"/>
      <x:c r="H21" s="4"/>
      <x:c r="I21" s="4"/>
      <x:c r="J21" s="1"/>
      <x:c r="K21" s="1"/>
      <x:c r="L21" s="1"/>
    </x:row>
    <x:row r="22" ht="22" customHeight="1">
      <x:c r="A22" s="1"/>
      <x:c r="B22" s="1"/>
      <x:c r="C22" s="1"/>
      <x:c r="D22" s="4"/>
      <x:c r="E22" s="4"/>
      <x:c r="F22" s="4"/>
      <x:c r="G22" s="4"/>
      <x:c r="H22" s="4"/>
      <x:c r="I22" s="4"/>
      <x:c r="J22" s="1"/>
      <x:c r="K22" s="1"/>
      <x:c r="L22" s="1"/>
    </x:row>
    <x:row r="23" ht="22" customHeight="1">
      <x:c r="A23" s="1"/>
      <x:c r="B23" s="1"/>
      <x:c r="C23" s="1" t="str">
        <x:v>KRW bn. Share count is in millions.</x:v>
      </x:c>
      <x:c r="D23" s="4"/>
      <x:c r="E23" s="4"/>
      <x:c r="F23" s="4"/>
      <x:c r="G23" s="4"/>
      <x:c r="H23" s="4"/>
      <x:c r="I23" s="4"/>
      <x:c r="J23" s="1"/>
      <x:c r="K23" s="1"/>
      <x:c r="L23" s="1"/>
    </x:row>
    <x:row r="24" ht="22" customHeight="1">
      <x:c r="A24" s="1"/>
      <x:c r="B24" s="1"/>
      <x:c r="C24" s="1"/>
      <x:c r="D24" s="4"/>
      <x:c r="E24" s="4"/>
      <x:c r="F24" s="4"/>
      <x:c r="G24" s="4"/>
      <x:c r="H24" s="4"/>
      <x:c r="I24" s="4"/>
      <x:c r="J24" s="1"/>
      <x:c r="K24" s="1"/>
      <x:c r="L24" s="1"/>
    </x:row>
    <x:row r="25" ht="22" customHeight="1">
      <x:c r="A25" s="1"/>
      <x:c r="B25" s="1"/>
      <x:c r="C25" s="1" t="str">
        <x:v>Naver reference price; exchange close not reconciled.</x:v>
      </x:c>
      <x:c r="D25" s="4"/>
      <x:c r="E25" s="4"/>
      <x:c r="F25" s="4"/>
      <x:c r="G25" s="4"/>
      <x:c r="H25" s="4"/>
      <x:c r="I25" s="4"/>
      <x:c r="J25" s="1"/>
      <x:c r="K25" s="1"/>
      <x:c r="L25" s="1"/>
    </x:row>
    <x:row r="26" ht="22" customHeight="1">
      <x:c r="A26" s="1"/>
      <x:c r="B26" s="1"/>
      <x:c r="C26" s="1"/>
      <x:c r="D26" s="4"/>
      <x:c r="E26" s="4"/>
      <x:c r="F26" s="4"/>
      <x:c r="G26" s="4"/>
      <x:c r="H26" s="4"/>
      <x:c r="I26" s="4"/>
      <x:c r="J26" s="1"/>
      <x:c r="K26" s="1"/>
      <x:c r="L26" s="1"/>
    </x:row>
    <x:row r="27" ht="22" customHeight="1">
      <x:c r="A27" s="1"/>
      <x:c r="B27" s="1"/>
      <x:c r="C27" s="1"/>
      <x:c r="D27" s="4"/>
      <x:c r="E27" s="4"/>
      <x:c r="F27" s="4"/>
      <x:c r="G27" s="4"/>
      <x:c r="H27" s="4"/>
      <x:c r="I27" s="4"/>
      <x:c r="J27" s="1"/>
      <x:c r="K27" s="1"/>
      <x:c r="L27" s="1"/>
    </x:row>
    <x:row r="28" ht="22" customHeight="1">
      <x:c r="A28" s="1"/>
      <x:c r="B28" s="1"/>
      <x:c r="C28" s="1"/>
      <x:c r="D28" s="4"/>
      <x:c r="E28" s="4"/>
      <x:c r="F28" s="4"/>
      <x:c r="G28" s="4"/>
      <x:c r="H28" s="4"/>
      <x:c r="I28" s="4"/>
      <x:c r="J28" s="1"/>
      <x:c r="K28" s="1"/>
      <x:c r="L28" s="1"/>
    </x:row>
    <x:row r="29" ht="22" customHeight="1">
      <x:c r="A29" s="1"/>
      <x:c r="B29" s="1"/>
      <x:c r="C29" s="1"/>
      <x:c r="D29" s="4"/>
      <x:c r="E29" s="4"/>
      <x:c r="F29" s="4"/>
      <x:c r="G29" s="4"/>
      <x:c r="H29" s="4"/>
      <x:c r="I29" s="4"/>
      <x:c r="J29" s="1"/>
      <x:c r="K29" s="1"/>
      <x:c r="L29" s="1"/>
    </x:row>
    <x:row r="30" ht="22" customHeight="1">
      <x:c r="A30" s="1"/>
      <x:c r="B30" s="1"/>
      <x:c r="C30" s="1"/>
      <x:c r="D30" s="4"/>
      <x:c r="E30" s="4"/>
      <x:c r="F30" s="4"/>
      <x:c r="G30" s="4"/>
      <x:c r="H30" s="4"/>
      <x:c r="I30" s="4"/>
      <x:c r="J30" s="1"/>
      <x:c r="K30" s="1"/>
      <x:c r="L30" s="1"/>
    </x:row>
    <x:row r="31" ht="22" customHeight="1">
      <x:c r="A31" s="1"/>
      <x:c r="B31" s="1"/>
      <x:c r="C31" s="1"/>
      <x:c r="D31" s="4"/>
      <x:c r="E31" s="4"/>
      <x:c r="F31" s="4"/>
      <x:c r="G31" s="4"/>
      <x:c r="H31" s="4"/>
      <x:c r="I31" s="4"/>
      <x:c r="J31" s="1"/>
      <x:c r="K31" s="1"/>
      <x:c r="L31" s="1"/>
    </x:row>
    <x:row r="32" ht="22" customHeight="1">
      <x:c r="A32" s="1"/>
      <x:c r="B32" s="1"/>
      <x:c r="C32" s="1"/>
      <x:c r="D32" s="4"/>
      <x:c r="E32" s="4"/>
      <x:c r="F32" s="4"/>
      <x:c r="G32" s="4"/>
      <x:c r="H32" s="4"/>
      <x:c r="I32" s="4"/>
      <x:c r="J32" s="1"/>
      <x:c r="K32" s="1"/>
      <x:c r="L32" s="1"/>
    </x:row>
    <x:row r="33" ht="22" customHeight="1">
      <x:c r="A33" s="1"/>
      <x:c r="B33" s="1"/>
      <x:c r="C33" s="1"/>
      <x:c r="D33" s="4"/>
      <x:c r="E33" s="4"/>
      <x:c r="F33" s="4"/>
      <x:c r="G33" s="4"/>
      <x:c r="H33" s="4"/>
      <x:c r="I33" s="4"/>
      <x:c r="J33" s="1"/>
      <x:c r="K33" s="1"/>
      <x:c r="L33" s="1"/>
    </x:row>
    <x:row r="34" ht="22" customHeight="1">
      <x:c r="A34" s="1"/>
      <x:c r="B34" s="1"/>
      <x:c r="C34" s="1"/>
      <x:c r="D34" s="4"/>
      <x:c r="E34" s="4"/>
      <x:c r="F34" s="4"/>
      <x:c r="G34" s="4"/>
      <x:c r="H34" s="4"/>
      <x:c r="I34" s="4"/>
      <x:c r="J34" s="1"/>
      <x:c r="K34" s="1"/>
      <x:c r="L34" s="1"/>
    </x:row>
    <x:row r="35" ht="22" customHeight="1">
      <x:c r="A35" s="1"/>
      <x:c r="B35" s="1"/>
      <x:c r="C35" s="1"/>
      <x:c r="D35" s="4"/>
      <x:c r="E35" s="4"/>
      <x:c r="F35" s="4"/>
      <x:c r="G35" s="4"/>
      <x:c r="H35" s="4"/>
      <x:c r="I35" s="4"/>
      <x:c r="J35" s="1"/>
      <x:c r="K35" s="1"/>
      <x:c r="L35" s="1"/>
    </x:row>
    <x:row r="36" ht="22" customHeight="1">
      <x:c r="A36" s="1"/>
      <x:c r="B36" s="1"/>
      <x:c r="C36" s="1"/>
      <x:c r="D36" s="4"/>
      <x:c r="E36" s="4"/>
      <x:c r="F36" s="4"/>
      <x:c r="G36" s="4"/>
      <x:c r="H36" s="4"/>
      <x:c r="I36" s="4"/>
      <x:c r="J36" s="1"/>
      <x:c r="K36" s="1"/>
      <x:c r="L36" s="1"/>
    </x:row>
    <x:row r="37" ht="22" customHeight="1">
      <x:c r="A37" s="1"/>
      <x:c r="B37" s="1"/>
      <x:c r="C37" s="1"/>
      <x:c r="D37" s="4"/>
      <x:c r="E37" s="4"/>
      <x:c r="F37" s="4"/>
      <x:c r="G37" s="4"/>
      <x:c r="H37" s="4"/>
      <x:c r="I37" s="4"/>
      <x:c r="J37" s="1"/>
      <x:c r="K37" s="1"/>
      <x:c r="L37" s="1"/>
    </x:row>
    <x:row r="38" ht="22" customHeight="1">
      <x:c r="A38" s="1"/>
      <x:c r="B38" s="1"/>
      <x:c r="C38" s="1"/>
      <x:c r="D38" s="4"/>
      <x:c r="E38" s="4"/>
      <x:c r="F38" s="4"/>
      <x:c r="G38" s="4"/>
      <x:c r="H38" s="4"/>
      <x:c r="I38" s="4"/>
      <x:c r="J38" s="1"/>
      <x:c r="K38" s="1"/>
      <x:c r="L38" s="1"/>
    </x:row>
    <x:row r="39" ht="22" customHeight="1">
      <x:c r="A39" s="1"/>
      <x:c r="B39" s="1"/>
      <x:c r="C39" s="1"/>
      <x:c r="D39" s="4"/>
      <x:c r="E39" s="4"/>
      <x:c r="F39" s="4"/>
      <x:c r="G39" s="4"/>
      <x:c r="H39" s="4"/>
      <x:c r="I39" s="4"/>
      <x:c r="J39" s="1"/>
      <x:c r="K39" s="1"/>
      <x:c r="L39" s="1"/>
    </x:row>
    <x:row r="40" ht="22" customHeight="1">
      <x:c r="A40" s="1"/>
      <x:c r="B40" s="1"/>
      <x:c r="C40" s="1"/>
      <x:c r="D40" s="4"/>
      <x:c r="E40" s="4"/>
      <x:c r="F40" s="4"/>
      <x:c r="G40" s="4"/>
      <x:c r="H40" s="4"/>
      <x:c r="I40" s="4"/>
      <x:c r="J40" s="1"/>
      <x:c r="K40" s="1"/>
      <x:c r="L40" s="1"/>
    </x:row>
    <x:row r="41" ht="22" customHeight="1">
      <x:c r="A41" s="1"/>
      <x:c r="B41" s="1"/>
      <x:c r="C41" s="1"/>
      <x:c r="D41" s="4"/>
      <x:c r="E41" s="4"/>
      <x:c r="F41" s="4"/>
      <x:c r="G41" s="4"/>
      <x:c r="H41" s="4"/>
      <x:c r="I41" s="4"/>
      <x:c r="J41" s="1"/>
      <x:c r="K41" s="1"/>
      <x:c r="L41" s="1"/>
    </x:row>
    <x:row r="42" ht="22" customHeight="1">
      <x:c r="A42" s="1"/>
      <x:c r="B42" s="1"/>
      <x:c r="C42" s="1"/>
      <x:c r="D42" s="4"/>
      <x:c r="E42" s="4"/>
      <x:c r="F42" s="4"/>
      <x:c r="G42" s="4"/>
      <x:c r="H42" s="4"/>
      <x:c r="I42" s="4"/>
      <x:c r="J42" s="1"/>
      <x:c r="K42" s="1"/>
      <x:c r="L42" s="1"/>
    </x:row>
    <x:row r="43" ht="22" customHeight="1">
      <x:c r="A43" s="1"/>
      <x:c r="B43" s="1"/>
      <x:c r="C43" s="1"/>
      <x:c r="D43" s="4"/>
      <x:c r="E43" s="4"/>
      <x:c r="F43" s="4"/>
      <x:c r="G43" s="4"/>
      <x:c r="H43" s="4"/>
      <x:c r="I43" s="4"/>
      <x:c r="J43" s="1"/>
      <x:c r="K43" s="1"/>
      <x:c r="L43" s="1"/>
    </x:row>
    <x:row r="44" ht="22" customHeight="1">
      <x:c r="A44" s="1"/>
      <x:c r="B44" s="1"/>
      <x:c r="C44" s="1"/>
      <x:c r="D44" s="4"/>
      <x:c r="E44" s="4"/>
      <x:c r="F44" s="4"/>
      <x:c r="G44" s="4"/>
      <x:c r="H44" s="4"/>
      <x:c r="I44" s="4"/>
      <x:c r="J44" s="1"/>
      <x:c r="K44" s="1"/>
      <x:c r="L44" s="1"/>
    </x:row>
    <x:row r="45" ht="22" customHeight="1">
      <x:c r="A45" s="1"/>
      <x:c r="B45" s="1"/>
      <x:c r="C45" s="1"/>
      <x:c r="D45" s="4"/>
      <x:c r="E45" s="4"/>
      <x:c r="F45" s="4"/>
      <x:c r="G45" s="4"/>
      <x:c r="H45" s="4"/>
      <x:c r="I45" s="4"/>
      <x:c r="J45" s="1"/>
      <x:c r="K45" s="1"/>
      <x:c r="L45" s="1"/>
    </x:row>
    <x:row r="46" ht="22" customHeight="1">
      <x:c r="A46" s="1"/>
      <x:c r="B46" s="1"/>
      <x:c r="C46" s="1"/>
      <x:c r="D46" s="4"/>
      <x:c r="E46" s="4"/>
      <x:c r="F46" s="4"/>
      <x:c r="G46" s="4"/>
      <x:c r="H46" s="4"/>
      <x:c r="I46" s="4"/>
      <x:c r="J46" s="1"/>
      <x:c r="K46" s="1"/>
      <x:c r="L46" s="1"/>
    </x:row>
    <x:row r="47" ht="22" customHeight="1">
      <x:c r="A47" s="1"/>
      <x:c r="B47" s="1"/>
      <x:c r="C47" s="1"/>
      <x:c r="D47" s="4"/>
      <x:c r="E47" s="4"/>
      <x:c r="F47" s="4"/>
      <x:c r="G47" s="4"/>
      <x:c r="H47" s="4"/>
      <x:c r="I47" s="4"/>
      <x:c r="J47" s="1"/>
      <x:c r="K47" s="1"/>
      <x:c r="L47" s="1"/>
    </x:row>
    <x:row r="48" ht="22" customHeight="1">
      <x:c r="A48" s="1"/>
      <x:c r="B48" s="1"/>
      <x:c r="C48" s="1"/>
      <x:c r="D48" s="4"/>
      <x:c r="E48" s="4"/>
      <x:c r="F48" s="4"/>
      <x:c r="G48" s="4"/>
      <x:c r="H48" s="4"/>
      <x:c r="I48" s="4"/>
      <x:c r="J48" s="1"/>
      <x:c r="K48" s="1"/>
      <x:c r="L48" s="1"/>
    </x:row>
    <x:row r="49" ht="22" customHeight="1">
      <x:c r="A49" s="1"/>
      <x:c r="B49" s="1"/>
      <x:c r="C49" s="1"/>
      <x:c r="D49" s="4"/>
      <x:c r="E49" s="4"/>
      <x:c r="F49" s="4"/>
      <x:c r="G49" s="4"/>
      <x:c r="H49" s="4"/>
      <x:c r="I49" s="4"/>
      <x:c r="J49" s="1"/>
      <x:c r="K49" s="1"/>
      <x:c r="L49" s="1"/>
    </x:row>
    <x:row r="50" ht="22" customHeight="1">
      <x:c r="A50" s="1"/>
      <x:c r="B50" s="1"/>
      <x:c r="C50" s="1"/>
      <x:c r="D50" s="4"/>
      <x:c r="E50" s="4"/>
      <x:c r="F50" s="4"/>
      <x:c r="G50" s="4"/>
      <x:c r="H50" s="4"/>
      <x:c r="I50" s="4"/>
      <x:c r="J50" s="1"/>
      <x:c r="K50" s="1"/>
      <x:c r="L50" s="1"/>
    </x:row>
    <x:row r="51" ht="22" customHeight="1">
      <x:c r="A51" s="1"/>
      <x:c r="B51" s="1"/>
      <x:c r="C51" s="1"/>
      <x:c r="D51" s="4"/>
      <x:c r="E51" s="4"/>
      <x:c r="F51" s="4"/>
      <x:c r="G51" s="4"/>
      <x:c r="H51" s="4"/>
      <x:c r="I51" s="4"/>
      <x:c r="J51" s="1"/>
      <x:c r="K51" s="1"/>
      <x:c r="L51" s="1"/>
    </x:row>
    <x:row r="52" ht="22" customHeight="1">
      <x:c r="A52" s="1"/>
      <x:c r="B52" s="1"/>
      <x:c r="C52" s="1"/>
      <x:c r="D52" s="4"/>
      <x:c r="E52" s="4"/>
      <x:c r="F52" s="4"/>
      <x:c r="G52" s="4"/>
      <x:c r="H52" s="4"/>
      <x:c r="I52" s="4"/>
      <x:c r="J52" s="1"/>
      <x:c r="K52" s="1"/>
      <x:c r="L52" s="1"/>
    </x:row>
    <x:row r="53" ht="22" customHeight="1">
      <x:c r="A53" s="1"/>
      <x:c r="B53" s="1"/>
      <x:c r="C53" s="1"/>
      <x:c r="D53" s="4"/>
      <x:c r="E53" s="4"/>
      <x:c r="F53" s="4"/>
      <x:c r="G53" s="4"/>
      <x:c r="H53" s="4"/>
      <x:c r="I53" s="4"/>
      <x:c r="J53" s="1"/>
      <x:c r="K53" s="1"/>
      <x:c r="L53" s="1"/>
    </x:row>
    <x:row r="54" ht="22" customHeight="1">
      <x:c r="A54" s="1"/>
      <x:c r="B54" s="1"/>
      <x:c r="C54" s="1"/>
      <x:c r="D54" s="4"/>
      <x:c r="E54" s="4"/>
      <x:c r="F54" s="4"/>
      <x:c r="G54" s="4"/>
      <x:c r="H54" s="4"/>
      <x:c r="I54" s="4"/>
      <x:c r="J54" s="1"/>
      <x:c r="K54" s="1"/>
      <x:c r="L54" s="1"/>
    </x:row>
    <x:row r="55" ht="22" customHeight="1">
      <x:c r="A55" s="1"/>
      <x:c r="B55" s="1"/>
      <x:c r="C55" s="1"/>
      <x:c r="D55" s="4"/>
      <x:c r="E55" s="4"/>
      <x:c r="F55" s="4"/>
      <x:c r="G55" s="4"/>
      <x:c r="H55" s="4"/>
      <x:c r="I55" s="4"/>
      <x:c r="J55" s="1"/>
      <x:c r="K55" s="1"/>
      <x:c r="L55" s="1"/>
    </x:row>
    <x:row r="56" ht="22" customHeight="1">
      <x:c r="A56" s="1"/>
      <x:c r="B56" s="1"/>
      <x:c r="C56" s="1"/>
      <x:c r="D56" s="4"/>
      <x:c r="E56" s="4"/>
      <x:c r="F56" s="4"/>
      <x:c r="G56" s="4"/>
      <x:c r="H56" s="4"/>
      <x:c r="I56" s="4"/>
      <x:c r="J56" s="1"/>
      <x:c r="K56" s="1"/>
      <x:c r="L56" s="1"/>
    </x:row>
    <x:row r="57" ht="22" customHeight="1">
      <x:c r="A57" s="1"/>
      <x:c r="B57" s="1"/>
      <x:c r="C57" s="1"/>
      <x:c r="D57" s="4"/>
      <x:c r="E57" s="4"/>
      <x:c r="F57" s="4"/>
      <x:c r="G57" s="4"/>
      <x:c r="H57" s="4"/>
      <x:c r="I57" s="4"/>
      <x:c r="J57" s="1"/>
      <x:c r="K57" s="1"/>
      <x:c r="L57" s="1"/>
    </x:row>
    <x:row r="58" ht="22" customHeight="1">
      <x:c r="A58" s="1"/>
      <x:c r="B58" s="1"/>
      <x:c r="C58" s="1"/>
      <x:c r="D58" s="4"/>
      <x:c r="E58" s="4"/>
      <x:c r="F58" s="4"/>
      <x:c r="G58" s="4"/>
      <x:c r="H58" s="4"/>
      <x:c r="I58" s="4"/>
      <x:c r="J58" s="1"/>
      <x:c r="K58" s="1"/>
      <x:c r="L58" s="1"/>
    </x:row>
    <x:row r="59" ht="22" customHeight="1">
      <x:c r="A59" s="1"/>
      <x:c r="B59" s="1"/>
      <x:c r="C59" s="1"/>
      <x:c r="D59" s="4"/>
      <x:c r="E59" s="4"/>
      <x:c r="F59" s="4"/>
      <x:c r="G59" s="4"/>
      <x:c r="H59" s="4"/>
      <x:c r="I59" s="4"/>
      <x:c r="J59" s="1"/>
      <x:c r="K59" s="1"/>
      <x:c r="L59" s="1"/>
    </x:row>
    <x:row r="60" ht="22" customHeight="1">
      <x:c r="A60" s="1"/>
      <x:c r="B60" s="1"/>
      <x:c r="C60" s="1"/>
      <x:c r="D60" s="4"/>
      <x:c r="E60" s="4"/>
      <x:c r="F60" s="4"/>
      <x:c r="G60" s="4"/>
      <x:c r="H60" s="4"/>
      <x:c r="I60" s="4"/>
      <x:c r="J60" s="1"/>
      <x:c r="K60" s="1"/>
      <x:c r="L60" s="1"/>
    </x:row>
    <x:row r="61" ht="22" customHeight="1">
      <x:c r="A61" s="1"/>
      <x:c r="B61" s="1"/>
      <x:c r="C61" s="1"/>
      <x:c r="D61" s="4"/>
      <x:c r="E61" s="4"/>
      <x:c r="F61" s="4"/>
      <x:c r="G61" s="4"/>
      <x:c r="H61" s="4"/>
      <x:c r="I61" s="4"/>
      <x:c r="J61" s="1"/>
      <x:c r="K61" s="1"/>
      <x:c r="L61" s="1"/>
    </x:row>
    <x:row r="62" ht="22" customHeight="1">
      <x:c r="A62" s="1"/>
      <x:c r="B62" s="1"/>
      <x:c r="C62" s="1"/>
      <x:c r="D62" s="4"/>
      <x:c r="E62" s="4"/>
      <x:c r="F62" s="4"/>
      <x:c r="G62" s="4"/>
      <x:c r="H62" s="4"/>
      <x:c r="I62" s="4"/>
      <x:c r="J62" s="1"/>
      <x:c r="K62" s="1"/>
      <x:c r="L62" s="1"/>
    </x:row>
    <x:row r="63" ht="22" customHeight="1">
      <x:c r="A63" s="1"/>
      <x:c r="B63" s="1"/>
      <x:c r="C63" s="1"/>
      <x:c r="D63" s="4"/>
      <x:c r="E63" s="4"/>
      <x:c r="F63" s="4"/>
      <x:c r="G63" s="4"/>
      <x:c r="H63" s="4"/>
      <x:c r="I63" s="4"/>
      <x:c r="J63" s="1"/>
      <x:c r="K63" s="1"/>
      <x:c r="L63" s="1"/>
    </x:row>
    <x:row r="64" ht="22" customHeight="1">
      <x:c r="A64" s="1"/>
      <x:c r="B64" s="1"/>
      <x:c r="C64" s="1"/>
      <x:c r="D64" s="4"/>
      <x:c r="E64" s="4"/>
      <x:c r="F64" s="4"/>
      <x:c r="G64" s="4"/>
      <x:c r="H64" s="4"/>
      <x:c r="I64" s="4"/>
      <x:c r="J64" s="1"/>
      <x:c r="K64" s="1"/>
      <x:c r="L64" s="1"/>
    </x:row>
    <x:row r="65" ht="22" customHeight="1">
      <x:c r="A65" s="1"/>
      <x:c r="B65" s="1"/>
      <x:c r="C65" s="1"/>
      <x:c r="D65" s="4"/>
      <x:c r="E65" s="4"/>
      <x:c r="F65" s="4"/>
      <x:c r="G65" s="4"/>
      <x:c r="H65" s="4"/>
      <x:c r="I65" s="4"/>
      <x:c r="J65" s="1"/>
      <x:c r="K65" s="1"/>
      <x:c r="L65" s="1"/>
    </x:row>
    <x:row r="66" ht="22" customHeight="1">
      <x:c r="A66" s="1"/>
      <x:c r="B66" s="1"/>
      <x:c r="C66" s="1"/>
      <x:c r="D66" s="4"/>
      <x:c r="E66" s="4"/>
      <x:c r="F66" s="4"/>
      <x:c r="G66" s="4"/>
      <x:c r="H66" s="4"/>
      <x:c r="I66" s="4"/>
      <x:c r="J66" s="1"/>
      <x:c r="K66" s="1"/>
      <x:c r="L66" s="1"/>
    </x:row>
    <x:row r="67" ht="22" customHeight="1">
      <x:c r="A67" s="1"/>
      <x:c r="B67" s="1"/>
      <x:c r="C67" s="1"/>
      <x:c r="D67" s="4"/>
      <x:c r="E67" s="4"/>
      <x:c r="F67" s="4"/>
      <x:c r="G67" s="4"/>
      <x:c r="H67" s="4"/>
      <x:c r="I67" s="4"/>
      <x:c r="J67" s="1"/>
      <x:c r="K67" s="1"/>
      <x:c r="L67" s="1"/>
    </x:row>
    <x:row r="68" ht="22" customHeight="1">
      <x:c r="A68" s="1"/>
      <x:c r="B68" s="1"/>
      <x:c r="C68" s="1"/>
      <x:c r="D68" s="4"/>
      <x:c r="E68" s="4"/>
      <x:c r="F68" s="4"/>
      <x:c r="G68" s="4"/>
      <x:c r="H68" s="4"/>
      <x:c r="I68" s="4"/>
      <x:c r="J68" s="1"/>
      <x:c r="K68" s="1"/>
      <x:c r="L68" s="1"/>
    </x:row>
    <x:row r="69" ht="22" customHeight="1">
      <x:c r="A69" s="1"/>
      <x:c r="B69" s="1"/>
      <x:c r="C69" s="1"/>
      <x:c r="D69" s="4"/>
      <x:c r="E69" s="4"/>
      <x:c r="F69" s="4"/>
      <x:c r="G69" s="4"/>
      <x:c r="H69" s="4"/>
      <x:c r="I69" s="4"/>
      <x:c r="J69" s="1"/>
      <x:c r="K69" s="1"/>
      <x:c r="L69" s="1"/>
    </x:row>
    <x:row r="70" ht="22" customHeight="1">
      <x:c r="A70" s="1"/>
      <x:c r="B70" s="1"/>
      <x:c r="C70" s="1"/>
      <x:c r="D70" s="4"/>
      <x:c r="E70" s="4"/>
      <x:c r="F70" s="4"/>
      <x:c r="G70" s="4"/>
      <x:c r="H70" s="4"/>
      <x:c r="I70" s="4"/>
      <x:c r="J70" s="1"/>
      <x:c r="K70" s="1"/>
      <x:c r="L70" s="1"/>
    </x:row>
    <x:row r="71" ht="22" customHeight="1">
      <x:c r="A71" s="1"/>
      <x:c r="B71" s="1"/>
      <x:c r="C71" s="1"/>
      <x:c r="D71" s="4"/>
      <x:c r="E71" s="4"/>
      <x:c r="F71" s="4"/>
      <x:c r="G71" s="4"/>
      <x:c r="H71" s="4"/>
      <x:c r="I71" s="4"/>
      <x:c r="J71" s="1"/>
      <x:c r="K71" s="1"/>
      <x:c r="L71" s="1"/>
    </x:row>
    <x:row r="72" ht="22" customHeight="1">
      <x:c r="A72" s="1"/>
      <x:c r="B72" s="1"/>
      <x:c r="C72" s="1"/>
      <x:c r="D72" s="4"/>
      <x:c r="E72" s="4"/>
      <x:c r="F72" s="4"/>
      <x:c r="G72" s="4"/>
      <x:c r="H72" s="4"/>
      <x:c r="I72" s="4"/>
      <x:c r="J72" s="1"/>
      <x:c r="K72" s="1"/>
      <x:c r="L72" s="1"/>
    </x:row>
    <x:row r="73" ht="22" customHeight="1">
      <x:c r="A73" s="1"/>
      <x:c r="B73" s="1"/>
      <x:c r="C73" s="1"/>
      <x:c r="D73" s="4"/>
      <x:c r="E73" s="4"/>
      <x:c r="F73" s="4"/>
      <x:c r="G73" s="4"/>
      <x:c r="H73" s="4"/>
      <x:c r="I73" s="4"/>
      <x:c r="J73" s="1"/>
      <x:c r="K73" s="1"/>
      <x:c r="L73" s="1"/>
    </x:row>
    <x:row r="74" ht="22" customHeight="1">
      <x:c r="A74" s="1"/>
      <x:c r="B74" s="1"/>
      <x:c r="C74" s="1"/>
      <x:c r="D74" s="4"/>
      <x:c r="E74" s="4"/>
      <x:c r="F74" s="4"/>
      <x:c r="G74" s="4"/>
      <x:c r="H74" s="4"/>
      <x:c r="I74" s="4"/>
      <x:c r="J74" s="1"/>
      <x:c r="K74" s="1"/>
      <x:c r="L74" s="1"/>
    </x:row>
    <x:row r="75" ht="22" customHeight="1">
      <x:c r="A75" s="1"/>
      <x:c r="B75" s="1"/>
      <x:c r="C75" s="1"/>
      <x:c r="D75" s="4"/>
      <x:c r="E75" s="4"/>
      <x:c r="F75" s="4"/>
      <x:c r="G75" s="4"/>
      <x:c r="H75" s="4"/>
      <x:c r="I75" s="4"/>
      <x:c r="J75" s="1"/>
      <x:c r="K75" s="1"/>
      <x:c r="L75" s="1"/>
    </x:row>
    <x:row r="76" ht="22" customHeight="1">
      <x:c r="A76" s="1"/>
      <x:c r="B76" s="1"/>
      <x:c r="C76" s="1"/>
      <x:c r="D76" s="4"/>
      <x:c r="E76" s="4"/>
      <x:c r="F76" s="4"/>
      <x:c r="G76" s="4"/>
      <x:c r="H76" s="4"/>
      <x:c r="I76" s="4"/>
      <x:c r="J76" s="1"/>
      <x:c r="K76" s="1"/>
      <x:c r="L76" s="1"/>
    </x:row>
    <x:row r="77" ht="22" customHeight="1">
      <x:c r="A77" s="1"/>
      <x:c r="B77" s="1"/>
      <x:c r="C77" s="1"/>
      <x:c r="D77" s="4"/>
      <x:c r="E77" s="4"/>
      <x:c r="F77" s="4"/>
      <x:c r="G77" s="4"/>
      <x:c r="H77" s="4"/>
      <x:c r="I77" s="4"/>
      <x:c r="J77" s="1"/>
      <x:c r="K77" s="1"/>
      <x:c r="L77" s="1"/>
    </x:row>
    <x:row r="78" ht="22" customHeight="1">
      <x:c r="A78" s="1"/>
      <x:c r="B78" s="1"/>
      <x:c r="C78" s="1"/>
      <x:c r="D78" s="4"/>
      <x:c r="E78" s="4"/>
      <x:c r="F78" s="4"/>
      <x:c r="G78" s="4"/>
      <x:c r="H78" s="4"/>
      <x:c r="I78" s="4"/>
      <x:c r="J78" s="1"/>
      <x:c r="K78" s="1"/>
      <x:c r="L78" s="1"/>
    </x:row>
    <x:row r="79" ht="22" customHeight="1">
      <x:c r="A79" s="1"/>
      <x:c r="B79" s="1"/>
      <x:c r="C79" s="1"/>
      <x:c r="D79" s="4"/>
      <x:c r="E79" s="4"/>
      <x:c r="F79" s="4"/>
      <x:c r="G79" s="4"/>
      <x:c r="H79" s="4"/>
      <x:c r="I79" s="4"/>
      <x:c r="J79" s="1"/>
      <x:c r="K79" s="1"/>
      <x:c r="L79" s="1"/>
    </x:row>
    <x:row r="80" ht="22" customHeight="1">
      <x:c r="A80" s="1"/>
      <x:c r="B80" s="1"/>
      <x:c r="C80" s="1"/>
      <x:c r="D80" s="4"/>
      <x:c r="E80" s="4"/>
      <x:c r="F80" s="4"/>
      <x:c r="G80" s="4"/>
      <x:c r="H80" s="4"/>
      <x:c r="I80" s="4"/>
      <x:c r="J80" s="1"/>
      <x:c r="K80" s="1"/>
      <x:c r="L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3" hidden="0" customWidth="1"/>
    <x:col min="4" max="4" width="17" hidden="0" customWidth="1"/>
    <x:col min="5" max="5" width="17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Actuals Sources</x:v>
      </x:c>
      <x:c r="D2" s="2"/>
      <x:c r="E2" s="2"/>
      <x:c r="F2" s="2"/>
      <x:c r="G2" s="2"/>
      <x:c r="H2" s="2"/>
      <x:c r="I2" s="2"/>
      <x:c r="J2" s="1"/>
      <x:c r="K2" s="1"/>
      <x:c r="L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 t="str">
        <x:v>Case selected</x:v>
      </x:c>
      <x:c r="D4" s="3" t="str">
        <x:f>Inputs!D3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</x:row>
    <x:row r="7" ht="22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</x:row>
    <x:row r="8" ht="27" customHeight="1">
      <x:c r="A8" s="1"/>
      <x:c r="B8" s="1"/>
      <x:c r="C8" s="18" t="str">
        <x:v>2026H1 actual</x:v>
      </x:c>
      <x:c r="D8" s="19" t="str">
        <x:v>KRW bn / shares mn</x:v>
      </x:c>
      <x:c r="E8" s="19" t="str">
        <x:v>Source</x:v>
      </x:c>
      <x:c r="F8" s="19" t="str">
        <x:v>Account meaning</x:v>
      </x:c>
      <x:c r="G8" s="4"/>
      <x:c r="H8" s="4"/>
      <x:c r="I8" s="4"/>
      <x:c r="J8" s="1"/>
      <x:c r="K8" s="1"/>
      <x:c r="L8" s="1"/>
    </x:row>
    <x:row r="9" ht="22" customHeight="1">
      <x:c r="A9" s="1"/>
      <x:c r="B9" s="1"/>
      <x:c r="C9" s="1" t="str">
        <x:v>Revenue H1</x:v>
      </x:c>
      <x:c r="D9" s="7" t="n">
        <x:v>128.106371358</x:v>
      </x:c>
      <x:c r="E9" s="4" t="str">
        <x:v>S01</x:v>
      </x:c>
      <x:c r="F9" s="4"/>
      <x:c r="G9" s="4"/>
      <x:c r="H9" s="4"/>
      <x:c r="I9" s="4"/>
      <x:c r="J9" s="1"/>
      <x:c r="K9" s="1"/>
      <x:c r="L9" s="1"/>
    </x:row>
    <x:row r="10" ht="22" customHeight="1">
      <x:c r="A10" s="1"/>
      <x:c r="B10" s="1"/>
      <x:c r="C10" s="1" t="str">
        <x:v>Operating profit H1</x:v>
      </x:c>
      <x:c r="D10" s="7" t="n">
        <x:v>24.971051485</x:v>
      </x:c>
      <x:c r="E10" s="4" t="str">
        <x:v>S01</x:v>
      </x:c>
      <x:c r="F10" s="4"/>
      <x:c r="G10" s="4"/>
      <x:c r="H10" s="4"/>
      <x:c r="I10" s="4"/>
      <x:c r="J10" s="1"/>
      <x:c r="K10" s="1"/>
      <x:c r="L10" s="1"/>
    </x:row>
    <x:row r="11" ht="22" customHeight="1">
      <x:c r="A11" s="1"/>
      <x:c r="B11" s="1"/>
      <x:c r="C11" s="1" t="str">
        <x:v>Parent NI H1</x:v>
      </x:c>
      <x:c r="D11" s="7" t="n">
        <x:v>26.667214429</x:v>
      </x:c>
      <x:c r="E11" s="4" t="str">
        <x:v>S01</x:v>
      </x:c>
      <x:c r="F11" s="4"/>
      <x:c r="G11" s="4"/>
      <x:c r="H11" s="4"/>
      <x:c r="I11" s="4"/>
      <x:c r="J11" s="1"/>
      <x:c r="K11" s="1"/>
      <x:c r="L11" s="1"/>
    </x:row>
    <x:row r="12" ht="22" customHeight="1">
      <x:c r="A12" s="1"/>
      <x:c r="B12" s="1"/>
      <x:c r="C12" s="1" t="str">
        <x:v>Parent equity</x:v>
      </x:c>
      <x:c r="D12" s="7" t="n">
        <x:v>335.439232758</x:v>
      </x:c>
      <x:c r="E12" s="4" t="str">
        <x:v>S01</x:v>
      </x:c>
      <x:c r="F12" s="4"/>
      <x:c r="G12" s="4"/>
      <x:c r="H12" s="4"/>
      <x:c r="I12" s="4"/>
      <x:c r="J12" s="1"/>
      <x:c r="K12" s="1"/>
      <x:c r="L12" s="1"/>
    </x:row>
    <x:row r="13" ht="22" customHeight="1">
      <x:c r="A13" s="1"/>
      <x:c r="B13" s="1"/>
      <x:c r="C13" s="1" t="str">
        <x:v>Non-controlling interests</x:v>
      </x:c>
      <x:c r="D13" s="7" t="n">
        <x:v>1.079850375</x:v>
      </x:c>
      <x:c r="E13" s="4" t="str">
        <x:v>S01</x:v>
      </x:c>
      <x:c r="F13" s="4"/>
      <x:c r="G13" s="4"/>
      <x:c r="H13" s="4"/>
      <x:c r="I13" s="4"/>
      <x:c r="J13" s="1"/>
      <x:c r="K13" s="1"/>
      <x:c r="L13" s="1"/>
    </x:row>
    <x:row r="14" ht="22" customHeight="1">
      <x:c r="A14" s="1"/>
      <x:c r="B14" s="1"/>
      <x:c r="C14" s="1" t="str">
        <x:v>Cash equivalents</x:v>
      </x:c>
      <x:c r="D14" s="7" t="n">
        <x:v>72.773480074</x:v>
      </x:c>
      <x:c r="E14" s="4" t="str">
        <x:v>S01</x:v>
      </x:c>
      <x:c r="F14" s="4"/>
      <x:c r="G14" s="4"/>
      <x:c r="H14" s="4"/>
      <x:c r="I14" s="4"/>
      <x:c r="J14" s="1"/>
      <x:c r="K14" s="1"/>
      <x:c r="L14" s="1"/>
    </x:row>
    <x:row r="15" ht="22" customHeight="1">
      <x:c r="A15" s="1"/>
      <x:c r="B15" s="1"/>
      <x:c r="C15" s="1" t="str">
        <x:v>Included financial assets</x:v>
      </x:c>
      <x:c r="D15" s="7" t="n">
        <x:v>5.031123287</x:v>
      </x:c>
      <x:c r="E15" s="4" t="str">
        <x:v>S01</x:v>
      </x:c>
      <x:c r="F15" s="4"/>
      <x:c r="G15" s="4"/>
      <x:c r="H15" s="4"/>
      <x:c r="I15" s="4"/>
      <x:c r="J15" s="1"/>
      <x:c r="K15" s="1"/>
      <x:c r="L15" s="1"/>
    </x:row>
    <x:row r="16" ht="22" customHeight="1">
      <x:c r="A16" s="1"/>
      <x:c r="B16" s="1"/>
      <x:c r="C16" s="1" t="str">
        <x:v>Borrowings / bonds</x:v>
      </x:c>
      <x:c r="D16" s="7" t="n">
        <x:v>13.867513194</x:v>
      </x:c>
      <x:c r="E16" s="4" t="str">
        <x:v>S01</x:v>
      </x:c>
      <x:c r="F16" s="4"/>
      <x:c r="G16" s="4"/>
      <x:c r="H16" s="4"/>
      <x:c r="I16" s="4"/>
      <x:c r="J16" s="1"/>
      <x:c r="K16" s="1"/>
      <x:c r="L16" s="1"/>
    </x:row>
    <x:row r="17" ht="22" customHeight="1">
      <x:c r="A17" s="1"/>
      <x:c r="B17" s="1"/>
      <x:c r="C17" s="1" t="str">
        <x:v>Additional lease debt</x:v>
      </x:c>
      <x:c r="D17" s="7" t="n">
        <x:v>0.971900304</x:v>
      </x:c>
      <x:c r="E17" s="4" t="str">
        <x:v>S01</x:v>
      </x:c>
      <x:c r="F17" s="4"/>
      <x:c r="G17" s="4"/>
      <x:c r="H17" s="4"/>
      <x:c r="I17" s="4"/>
      <x:c r="J17" s="1"/>
      <x:c r="K17" s="1"/>
      <x:c r="L17" s="1"/>
    </x:row>
    <x:row r="18" ht="22" customHeight="1">
      <x:c r="A18" s="1"/>
      <x:c r="B18" s="1"/>
      <x:c r="C18" s="1" t="str">
        <x:v>Operating NWC</x:v>
      </x:c>
      <x:c r="D18" s="7" t="n">
        <x:v>84.190119122</x:v>
      </x:c>
      <x:c r="E18" s="4" t="str">
        <x:v>S01</x:v>
      </x:c>
      <x:c r="F18" s="4"/>
      <x:c r="G18" s="4"/>
      <x:c r="H18" s="4"/>
      <x:c r="I18" s="4"/>
      <x:c r="J18" s="1"/>
      <x:c r="K18" s="1"/>
      <x:c r="L18" s="1"/>
    </x:row>
    <x:row r="19" ht="22" customHeight="1">
      <x:c r="A19" s="1"/>
      <x:c r="B19" s="1"/>
      <x:c r="C19" s="1" t="str">
        <x:v>D&amp;A H1</x:v>
      </x:c>
      <x:c r="D19" s="7" t="n">
        <x:v>8.151345808</x:v>
      </x:c>
      <x:c r="E19" s="4" t="str">
        <x:v>S01</x:v>
      </x:c>
      <x:c r="F19" s="4"/>
      <x:c r="G19" s="4"/>
      <x:c r="H19" s="4"/>
      <x:c r="I19" s="4"/>
      <x:c r="J19" s="1"/>
      <x:c r="K19" s="1"/>
      <x:c r="L19" s="1"/>
    </x:row>
    <x:row r="20" ht="22" customHeight="1">
      <x:c r="A20" s="1"/>
      <x:c r="B20" s="1"/>
      <x:c r="C20" s="1" t="str">
        <x:v>Asset investment H1</x:v>
      </x:c>
      <x:c r="D20" s="7" t="n">
        <x:v>30.819602261</x:v>
      </x:c>
      <x:c r="E20" s="4" t="str">
        <x:v>S01</x:v>
      </x:c>
      <x:c r="F20" s="4"/>
      <x:c r="G20" s="4"/>
      <x:c r="H20" s="4"/>
      <x:c r="I20" s="4"/>
      <x:c r="J20" s="1"/>
      <x:c r="K20" s="1"/>
      <x:c r="L20" s="1"/>
    </x:row>
    <x:row r="21" ht="22" customHeight="1">
      <x:c r="A21" s="1"/>
      <x:c r="B21" s="1"/>
      <x:c r="C21" s="1" t="str">
        <x:v>CFO as filed</x:v>
      </x:c>
      <x:c r="D21" s="7" t="n">
        <x:v>22.886765719</x:v>
      </x:c>
      <x:c r="E21" s="4" t="str">
        <x:v>S01</x:v>
      </x:c>
      <x:c r="F21" s="4"/>
      <x:c r="G21" s="4"/>
      <x:c r="H21" s="4"/>
      <x:c r="I21" s="4"/>
      <x:c r="J21" s="1"/>
      <x:c r="K21" s="1"/>
      <x:c r="L21" s="1"/>
    </x:row>
    <x:row r="22" ht="22" customHeight="1">
      <x:c r="A22" s="1"/>
      <x:c r="B22" s="1"/>
      <x:c r="C22" s="1" t="str">
        <x:v>Economic shares (million)</x:v>
      </x:c>
      <x:c r="D22" s="8" t="n">
        <x:v>21.07575</x:v>
      </x:c>
      <x:c r="E22" s="4" t="str">
        <x:v>S03</x:v>
      </x:c>
      <x:c r="F22" s="4"/>
      <x:c r="G22" s="4"/>
      <x:c r="H22" s="4"/>
      <x:c r="I22" s="4"/>
      <x:c r="J22" s="1"/>
      <x:c r="K22" s="1"/>
      <x:c r="L22" s="1"/>
    </x:row>
    <x:row r="23" ht="22" customHeight="1">
      <x:c r="A23" s="1"/>
      <x:c r="B23" s="1"/>
      <x:c r="C23" s="1" t="str">
        <x:v>Non-operating assets</x:v>
      </x:c>
      <x:c r="D23" s="7" t="n">
        <x:v>0</x:v>
      </x:c>
      <x:c r="E23" s="4" t="str">
        <x:v>S01</x:v>
      </x:c>
      <x:c r="F23" s="4"/>
      <x:c r="G23" s="4"/>
      <x:c r="H23" s="4"/>
      <x:c r="I23" s="4"/>
      <x:c r="J23" s="1"/>
      <x:c r="K23" s="1"/>
      <x:c r="L23" s="1"/>
    </x:row>
    <x:row r="24" ht="22" customHeight="1">
      <x:c r="A24" s="1"/>
      <x:c r="B24" s="1"/>
      <x:c r="C24" s="1" t="str">
        <x:v>Group NI H1</x:v>
      </x:c>
      <x:c r="D24" s="7" t="n">
        <x:v>26.536020431</x:v>
      </x:c>
      <x:c r="E24" s="4" t="str">
        <x:v>S01</x:v>
      </x:c>
      <x:c r="F24" s="4"/>
      <x:c r="G24" s="4"/>
      <x:c r="H24" s="4"/>
      <x:c r="I24" s="4"/>
      <x:c r="J24" s="1"/>
      <x:c r="K24" s="1"/>
      <x:c r="L24" s="1"/>
    </x:row>
    <x:row r="25" ht="22" customHeight="1">
      <x:c r="A25" s="1"/>
      <x:c r="B25" s="1"/>
      <x:c r="C25" s="1" t="str">
        <x:v>Forecast parent NI factor</x:v>
      </x:c>
      <x:c r="D25" s="5" t="n">
        <x:f>MIN(1,D11/D24)</x:f>
        <x:v>1</x:v>
      </x:c>
      <x:c r="E25" s="4"/>
      <x:c r="F25" s="4"/>
      <x:c r="G25" s="4"/>
      <x:c r="H25" s="4"/>
      <x:c r="I25" s="4"/>
      <x:c r="J25" s="1"/>
      <x:c r="K25" s="1"/>
      <x:c r="L25" s="1"/>
    </x:row>
    <x:row r="26" ht="22" customHeight="1">
      <x:c r="A26" s="1"/>
      <x:c r="B26" s="1"/>
      <x:c r="C26" s="1"/>
      <x:c r="D26" s="4"/>
      <x:c r="E26" s="4"/>
      <x:c r="F26" s="4"/>
      <x:c r="G26" s="4"/>
      <x:c r="H26" s="4"/>
      <x:c r="I26" s="4"/>
      <x:c r="J26" s="1"/>
      <x:c r="K26" s="1"/>
      <x:c r="L26" s="1"/>
    </x:row>
    <x:row r="27" ht="27" customHeight="1">
      <x:c r="A27" s="1"/>
      <x:c r="B27" s="1"/>
      <x:c r="C27" s="18" t="str">
        <x:v>Source</x:v>
      </x:c>
      <x:c r="D27" s="19" t="str">
        <x:v>Publisher</x:v>
      </x:c>
      <x:c r="E27" s="19" t="str">
        <x:v>Title</x:v>
      </x:c>
      <x:c r="F27" s="19" t="str">
        <x:v>URL</x:v>
      </x:c>
      <x:c r="G27" s="4"/>
      <x:c r="H27" s="4"/>
      <x:c r="I27" s="4"/>
      <x:c r="J27" s="1"/>
      <x:c r="K27" s="1"/>
      <x:c r="L27" s="1"/>
    </x:row>
    <x:row r="28" ht="22" customHeight="1">
      <x:c r="A28" s="1"/>
      <x:c r="B28" s="1"/>
      <x:c r="C28" s="1" t="str">
        <x:v>S01</x:v>
      </x:c>
      <x:c r="D28" s="4" t="str">
        <x:v>DART</x:v>
      </x:c>
      <x:c r="E28" s="4" t="str">
        <x:v>2026 반기 연결재무제표</x:v>
      </x:c>
      <x:c r="F28" s="4" t="str">
        <x:v>https://dart.fss.or.kr/report/viewer.do?rcpNo=20260813000645&amp;dcmNo=11523270&amp;eleId=19&amp;offset=230355&amp;length=192636&amp;dtd=dart4.xsd</x:v>
      </x:c>
      <x:c r="G28" s="4"/>
      <x:c r="H28" s="4"/>
      <x:c r="I28" s="4"/>
      <x:c r="J28" s="1"/>
      <x:c r="K28" s="1"/>
      <x:c r="L28" s="1"/>
    </x:row>
    <x:row r="29" ht="22" customHeight="1">
      <x:c r="A29" s="1"/>
      <x:c r="B29" s="1"/>
      <x:c r="C29" s="1" t="str">
        <x:v>S02</x:v>
      </x:c>
      <x:c r="D29" s="4" t="str">
        <x:v>DART</x:v>
      </x:c>
      <x:c r="E29" s="4" t="str">
        <x:v>2026 반기 연결재무제표 주석</x:v>
      </x:c>
      <x:c r="F29" s="4" t="str">
        <x:v>https://dart.fss.or.kr/report/viewer.do?rcpNo=20260813000645&amp;dcmNo=11523270&amp;eleId=24&amp;offset=422995&amp;length=1582160&amp;dtd=dart4.xsd</x:v>
      </x:c>
      <x:c r="G29" s="4"/>
      <x:c r="H29" s="4"/>
      <x:c r="I29" s="4"/>
      <x:c r="J29" s="1"/>
      <x:c r="K29" s="1"/>
      <x:c r="L29" s="1"/>
    </x:row>
    <x:row r="30" ht="22" customHeight="1">
      <x:c r="A30" s="1"/>
      <x:c r="B30" s="1"/>
      <x:c r="C30" s="1" t="str">
        <x:v>S03</x:v>
      </x:c>
      <x:c r="D30" s="4" t="str">
        <x:v>DART</x:v>
      </x:c>
      <x:c r="E30" s="4" t="str">
        <x:v>2026 반기 주식의 총수</x:v>
      </x:c>
      <x:c r="F30" s="4" t="str">
        <x:v>https://dart.fss.or.kr/report/viewer.do?rcpNo=20260813000645&amp;dcmNo=11523270&amp;eleId=7&amp;offset=69445&amp;length=66931&amp;dtd=dart4.xsd</x:v>
      </x:c>
      <x:c r="G30" s="4"/>
      <x:c r="H30" s="4"/>
      <x:c r="I30" s="4"/>
      <x:c r="J30" s="1"/>
      <x:c r="K30" s="1"/>
      <x:c r="L30" s="1"/>
    </x:row>
    <x:row r="31" ht="22" customHeight="1">
      <x:c r="A31" s="1"/>
      <x:c r="B31" s="1"/>
      <x:c r="C31" s="1" t="str">
        <x:v>S04</x:v>
      </x:c>
      <x:c r="D31" s="4" t="str">
        <x:v>에스앤에스텍</x:v>
      </x:c>
      <x:c r="E31" s="4" t="str">
        <x:v>2023~2025 재무정보</x:v>
      </x:c>
      <x:c r="F31" s="4" t="str">
        <x:v>https://snstech.co.kr/ko/ir/financial</x:v>
      </x:c>
      <x:c r="G31" s="4"/>
      <x:c r="H31" s="4"/>
      <x:c r="I31" s="4"/>
      <x:c r="J31" s="1"/>
      <x:c r="K31" s="1"/>
      <x:c r="L31" s="1"/>
    </x:row>
    <x:row r="32" ht="22" customHeight="1">
      <x:c r="A32" s="1"/>
      <x:c r="B32" s="1"/>
      <x:c r="C32" s="1" t="str">
        <x:v>S05</x:v>
      </x:c>
      <x:c r="D32" s="4" t="str">
        <x:v>에스앤에스텍</x:v>
      </x:c>
      <x:c r="E32" s="4" t="str">
        <x:v>EUV 테스트 관련 기사 보관</x:v>
      </x:c>
      <x:c r="F32" s="4" t="str">
        <x:v>https://snstech.co.kr/ko/pr/news?cat=press</x:v>
      </x:c>
      <x:c r="G32" s="4"/>
      <x:c r="H32" s="4"/>
      <x:c r="I32" s="4"/>
      <x:c r="J32" s="1"/>
      <x:c r="K32" s="1"/>
      <x:c r="L32" s="1"/>
    </x:row>
    <x:row r="33" ht="22" customHeight="1">
      <x:c r="A33" s="1"/>
      <x:c r="B33" s="1"/>
      <x:c r="C33" s="1" t="str">
        <x:v>S06</x:v>
      </x:c>
      <x:c r="D33" s="4" t="str">
        <x:v>HOYA</x:v>
      </x:c>
      <x:c r="E33" s="4" t="str">
        <x:v>블랭크마스크 사업</x:v>
      </x:c>
      <x:c r="F33" s="4" t="str">
        <x:v>https://www.hoya.com/ir/2026/en/review/it.html</x:v>
      </x:c>
      <x:c r="G33" s="4"/>
      <x:c r="H33" s="4"/>
      <x:c r="I33" s="4"/>
      <x:c r="J33" s="1"/>
      <x:c r="K33" s="1"/>
      <x:c r="L33" s="1"/>
    </x:row>
    <x:row r="34" ht="22" customHeight="1">
      <x:c r="A34" s="1"/>
      <x:c r="B34" s="1"/>
      <x:c r="C34" s="1" t="str">
        <x:v>S07</x:v>
      </x:c>
      <x:c r="D34" s="4" t="str">
        <x:v>Photronics</x:v>
      </x:c>
      <x:c r="E34" s="4" t="str">
        <x:v>포토마스크 제품</x:v>
      </x:c>
      <x:c r="F34" s="4" t="str">
        <x:v>https://www.photronics.com/products/</x:v>
      </x:c>
      <x:c r="G34" s="4"/>
      <x:c r="H34" s="4"/>
      <x:c r="I34" s="4"/>
      <x:c r="J34" s="1"/>
      <x:c r="K34" s="1"/>
      <x:c r="L34" s="1"/>
    </x:row>
    <x:row r="35" ht="22" customHeight="1">
      <x:c r="A35" s="1"/>
      <x:c r="B35" s="1"/>
      <x:c r="C35" s="1" t="str">
        <x:v>M01</x:v>
      </x:c>
      <x:c r="D35" s="4" t="str">
        <x:v>NYU Stern, Aswath Damodaran</x:v>
      </x:c>
      <x:c r="E35" s="4" t="str">
        <x:v>PER의 성장·ROE·배당·위험 관계</x:v>
      </x:c>
      <x:c r="F35" s="4" t="str">
        <x:v>https://pages.stern.nyu.edu/~adamodar/New_Home_Page/invfables/peratio.htm</x:v>
      </x:c>
      <x:c r="G35" s="4"/>
      <x:c r="H35" s="4"/>
      <x:c r="I35" s="4"/>
      <x:c r="J35" s="1"/>
      <x:c r="K35" s="1"/>
      <x:c r="L35" s="1"/>
    </x:row>
    <x:row r="36" ht="22" customHeight="1">
      <x:c r="A36" s="1"/>
      <x:c r="B36" s="1"/>
      <x:c r="C36" s="1" t="str">
        <x:v>M02</x:v>
      </x:c>
      <x:c r="D36" s="4" t="str">
        <x:v>NYU Stern, Aswath Damodaran</x:v>
      </x:c>
      <x:c r="E36" s="4" t="str">
        <x:v>성숙기 재투자와 잔존가치</x:v>
      </x:c>
      <x:c r="F36" s="4" t="str">
        <x:v>https://pages.stern.nyu.edu/~adamodar/New_Home_Page/valquestions/termvalueexreturns.htm</x:v>
      </x:c>
      <x:c r="G36" s="4"/>
      <x:c r="H36" s="4"/>
      <x:c r="I36" s="4"/>
      <x:c r="J36" s="1"/>
      <x:c r="K36" s="1"/>
      <x:c r="L36" s="1"/>
    </x:row>
    <x:row r="37" ht="22" customHeight="1">
      <x:c r="A37" s="1"/>
      <x:c r="B37" s="1"/>
      <x:c r="C37" s="1" t="str">
        <x:v>PX01</x:v>
      </x:c>
      <x:c r="D37" s="4" t="str">
        <x:v>NAVER Finance</x:v>
      </x:c>
      <x:c r="E37" s="4" t="str">
        <x:v>2026-10-16 일별시세 참고 종가</x:v>
      </x:c>
      <x:c r="F37" s="4" t="str">
        <x:v>https://api.finance.naver.com/siseJson.naver?symbol=101490&amp;requestType=1&amp;startTime=20261016&amp;endTime=20261016&amp;timeframe=day</x:v>
      </x:c>
      <x:c r="G37" s="4"/>
      <x:c r="H37" s="4"/>
      <x:c r="I37" s="4"/>
      <x:c r="J37" s="1"/>
      <x:c r="K37" s="1"/>
      <x:c r="L37" s="1"/>
    </x:row>
    <x:row r="38" ht="22" customHeight="1">
      <x:c r="A38" s="1"/>
      <x:c r="B38" s="1"/>
      <x:c r="C38" s="1"/>
      <x:c r="D38" s="4"/>
      <x:c r="E38" s="4"/>
      <x:c r="F38" s="4"/>
      <x:c r="G38" s="4"/>
      <x:c r="H38" s="4"/>
      <x:c r="I38" s="4"/>
      <x:c r="J38" s="1"/>
      <x:c r="K38" s="1"/>
      <x:c r="L38" s="1"/>
    </x:row>
    <x:row r="39" ht="22" customHeight="1">
      <x:c r="A39" s="1"/>
      <x:c r="B39" s="1"/>
      <x:c r="C39" s="1"/>
      <x:c r="D39" s="4"/>
      <x:c r="E39" s="4"/>
      <x:c r="F39" s="4"/>
      <x:c r="G39" s="4"/>
      <x:c r="H39" s="4"/>
      <x:c r="I39" s="4"/>
      <x:c r="J39" s="1"/>
      <x:c r="K39" s="1"/>
      <x:c r="L39" s="1"/>
    </x:row>
    <x:row r="40" ht="22" customHeight="1">
      <x:c r="A40" s="1"/>
      <x:c r="B40" s="1"/>
      <x:c r="C40" s="1"/>
      <x:c r="D40" s="4"/>
      <x:c r="E40" s="4"/>
      <x:c r="F40" s="4"/>
      <x:c r="G40" s="4"/>
      <x:c r="H40" s="4"/>
      <x:c r="I40" s="4"/>
      <x:c r="J40" s="1"/>
      <x:c r="K40" s="1"/>
      <x:c r="L40" s="1"/>
    </x:row>
    <x:row r="41" ht="22" customHeight="1">
      <x:c r="A41" s="1"/>
      <x:c r="B41" s="1"/>
      <x:c r="C41" s="1"/>
      <x:c r="D41" s="4"/>
      <x:c r="E41" s="4"/>
      <x:c r="F41" s="4"/>
      <x:c r="G41" s="4"/>
      <x:c r="H41" s="4"/>
      <x:c r="I41" s="4"/>
      <x:c r="J41" s="1"/>
      <x:c r="K41" s="1"/>
      <x:c r="L41" s="1"/>
    </x:row>
    <x:row r="42" ht="22" customHeight="1">
      <x:c r="A42" s="1"/>
      <x:c r="B42" s="1"/>
      <x:c r="C42" s="1"/>
      <x:c r="D42" s="4"/>
      <x:c r="E42" s="4"/>
      <x:c r="F42" s="4"/>
      <x:c r="G42" s="4"/>
      <x:c r="H42" s="4"/>
      <x:c r="I42" s="4"/>
      <x:c r="J42" s="1"/>
      <x:c r="K42" s="1"/>
      <x:c r="L42" s="1"/>
    </x:row>
    <x:row r="43" ht="22" customHeight="1">
      <x:c r="A43" s="1"/>
      <x:c r="B43" s="1"/>
      <x:c r="C43" s="1"/>
      <x:c r="D43" s="4"/>
      <x:c r="E43" s="4"/>
      <x:c r="F43" s="4"/>
      <x:c r="G43" s="4"/>
      <x:c r="H43" s="4"/>
      <x:c r="I43" s="4"/>
      <x:c r="J43" s="1"/>
      <x:c r="K43" s="1"/>
      <x:c r="L43" s="1"/>
    </x:row>
    <x:row r="44" ht="22" customHeight="1">
      <x:c r="A44" s="1"/>
      <x:c r="B44" s="1"/>
      <x:c r="C44" s="1"/>
      <x:c r="D44" s="4"/>
      <x:c r="E44" s="4"/>
      <x:c r="F44" s="4"/>
      <x:c r="G44" s="4"/>
      <x:c r="H44" s="4"/>
      <x:c r="I44" s="4"/>
      <x:c r="J44" s="1"/>
      <x:c r="K44" s="1"/>
      <x:c r="L44" s="1"/>
    </x:row>
    <x:row r="45" ht="22" customHeight="1">
      <x:c r="A45" s="1"/>
      <x:c r="B45" s="1"/>
      <x:c r="C45" s="1"/>
      <x:c r="D45" s="4"/>
      <x:c r="E45" s="4"/>
      <x:c r="F45" s="4"/>
      <x:c r="G45" s="4"/>
      <x:c r="H45" s="4"/>
      <x:c r="I45" s="4"/>
      <x:c r="J45" s="1"/>
      <x:c r="K45" s="1"/>
      <x:c r="L45" s="1"/>
    </x:row>
    <x:row r="46" ht="22" customHeight="1">
      <x:c r="A46" s="1"/>
      <x:c r="B46" s="1"/>
      <x:c r="C46" s="1"/>
      <x:c r="D46" s="4"/>
      <x:c r="E46" s="4"/>
      <x:c r="F46" s="4"/>
      <x:c r="G46" s="4"/>
      <x:c r="H46" s="4"/>
      <x:c r="I46" s="4"/>
      <x:c r="J46" s="1"/>
      <x:c r="K46" s="1"/>
      <x:c r="L46" s="1"/>
    </x:row>
    <x:row r="47" ht="22" customHeight="1">
      <x:c r="A47" s="1"/>
      <x:c r="B47" s="1"/>
      <x:c r="C47" s="1"/>
      <x:c r="D47" s="4"/>
      <x:c r="E47" s="4"/>
      <x:c r="F47" s="4"/>
      <x:c r="G47" s="4"/>
      <x:c r="H47" s="4"/>
      <x:c r="I47" s="4"/>
      <x:c r="J47" s="1"/>
      <x:c r="K47" s="1"/>
      <x:c r="L47" s="1"/>
    </x:row>
    <x:row r="48" ht="22" customHeight="1">
      <x:c r="A48" s="1"/>
      <x:c r="B48" s="1"/>
      <x:c r="C48" s="1"/>
      <x:c r="D48" s="4"/>
      <x:c r="E48" s="4"/>
      <x:c r="F48" s="4"/>
      <x:c r="G48" s="4"/>
      <x:c r="H48" s="4"/>
      <x:c r="I48" s="4"/>
      <x:c r="J48" s="1"/>
      <x:c r="K48" s="1"/>
      <x:c r="L48" s="1"/>
    </x:row>
    <x:row r="49" ht="22" customHeight="1">
      <x:c r="A49" s="1"/>
      <x:c r="B49" s="1"/>
      <x:c r="C49" s="1"/>
      <x:c r="D49" s="4"/>
      <x:c r="E49" s="4"/>
      <x:c r="F49" s="4"/>
      <x:c r="G49" s="4"/>
      <x:c r="H49" s="4"/>
      <x:c r="I49" s="4"/>
      <x:c r="J49" s="1"/>
      <x:c r="K49" s="1"/>
      <x:c r="L49" s="1"/>
    </x:row>
    <x:row r="50" ht="22" customHeight="1">
      <x:c r="A50" s="1"/>
      <x:c r="B50" s="1"/>
      <x:c r="C50" s="1"/>
      <x:c r="D50" s="4"/>
      <x:c r="E50" s="4"/>
      <x:c r="F50" s="4"/>
      <x:c r="G50" s="4"/>
      <x:c r="H50" s="4"/>
      <x:c r="I50" s="4"/>
      <x:c r="J50" s="1"/>
      <x:c r="K50" s="1"/>
      <x:c r="L50" s="1"/>
    </x:row>
    <x:row r="51" ht="22" customHeight="1">
      <x:c r="A51" s="1"/>
      <x:c r="B51" s="1"/>
      <x:c r="C51" s="1"/>
      <x:c r="D51" s="4"/>
      <x:c r="E51" s="4"/>
      <x:c r="F51" s="4"/>
      <x:c r="G51" s="4"/>
      <x:c r="H51" s="4"/>
      <x:c r="I51" s="4"/>
      <x:c r="J51" s="1"/>
      <x:c r="K51" s="1"/>
      <x:c r="L51" s="1"/>
    </x:row>
    <x:row r="52" ht="22" customHeight="1">
      <x:c r="A52" s="1"/>
      <x:c r="B52" s="1"/>
      <x:c r="C52" s="1"/>
      <x:c r="D52" s="4"/>
      <x:c r="E52" s="4"/>
      <x:c r="F52" s="4"/>
      <x:c r="G52" s="4"/>
      <x:c r="H52" s="4"/>
      <x:c r="I52" s="4"/>
      <x:c r="J52" s="1"/>
      <x:c r="K52" s="1"/>
      <x:c r="L52" s="1"/>
    </x:row>
    <x:row r="53" ht="22" customHeight="1">
      <x:c r="A53" s="1"/>
      <x:c r="B53" s="1"/>
      <x:c r="C53" s="1"/>
      <x:c r="D53" s="4"/>
      <x:c r="E53" s="4"/>
      <x:c r="F53" s="4"/>
      <x:c r="G53" s="4"/>
      <x:c r="H53" s="4"/>
      <x:c r="I53" s="4"/>
      <x:c r="J53" s="1"/>
      <x:c r="K53" s="1"/>
      <x:c r="L53" s="1"/>
    </x:row>
    <x:row r="54" ht="22" customHeight="1">
      <x:c r="A54" s="1"/>
      <x:c r="B54" s="1"/>
      <x:c r="C54" s="1"/>
      <x:c r="D54" s="4"/>
      <x:c r="E54" s="4"/>
      <x:c r="F54" s="4"/>
      <x:c r="G54" s="4"/>
      <x:c r="H54" s="4"/>
      <x:c r="I54" s="4"/>
      <x:c r="J54" s="1"/>
      <x:c r="K54" s="1"/>
      <x:c r="L54" s="1"/>
    </x:row>
    <x:row r="55" ht="22" customHeight="1">
      <x:c r="A55" s="1"/>
      <x:c r="B55" s="1"/>
      <x:c r="C55" s="1"/>
      <x:c r="D55" s="4"/>
      <x:c r="E55" s="4"/>
      <x:c r="F55" s="4"/>
      <x:c r="G55" s="4"/>
      <x:c r="H55" s="4"/>
      <x:c r="I55" s="4"/>
      <x:c r="J55" s="1"/>
      <x:c r="K55" s="1"/>
      <x:c r="L55" s="1"/>
    </x:row>
    <x:row r="56" ht="22" customHeight="1">
      <x:c r="A56" s="1"/>
      <x:c r="B56" s="1"/>
      <x:c r="C56" s="1"/>
      <x:c r="D56" s="4"/>
      <x:c r="E56" s="4"/>
      <x:c r="F56" s="4"/>
      <x:c r="G56" s="4"/>
      <x:c r="H56" s="4"/>
      <x:c r="I56" s="4"/>
      <x:c r="J56" s="1"/>
      <x:c r="K56" s="1"/>
      <x:c r="L56" s="1"/>
    </x:row>
    <x:row r="57" ht="22" customHeight="1">
      <x:c r="A57" s="1"/>
      <x:c r="B57" s="1"/>
      <x:c r="C57" s="1"/>
      <x:c r="D57" s="4"/>
      <x:c r="E57" s="4"/>
      <x:c r="F57" s="4"/>
      <x:c r="G57" s="4"/>
      <x:c r="H57" s="4"/>
      <x:c r="I57" s="4"/>
      <x:c r="J57" s="1"/>
      <x:c r="K57" s="1"/>
      <x:c r="L57" s="1"/>
    </x:row>
    <x:row r="58" ht="22" customHeight="1">
      <x:c r="A58" s="1"/>
      <x:c r="B58" s="1"/>
      <x:c r="C58" s="1"/>
      <x:c r="D58" s="4"/>
      <x:c r="E58" s="4"/>
      <x:c r="F58" s="4"/>
      <x:c r="G58" s="4"/>
      <x:c r="H58" s="4"/>
      <x:c r="I58" s="4"/>
      <x:c r="J58" s="1"/>
      <x:c r="K58" s="1"/>
      <x:c r="L58" s="1"/>
    </x:row>
    <x:row r="59" ht="22" customHeight="1">
      <x:c r="A59" s="1"/>
      <x:c r="B59" s="1"/>
      <x:c r="C59" s="1"/>
      <x:c r="D59" s="4"/>
      <x:c r="E59" s="4"/>
      <x:c r="F59" s="4"/>
      <x:c r="G59" s="4"/>
      <x:c r="H59" s="4"/>
      <x:c r="I59" s="4"/>
      <x:c r="J59" s="1"/>
      <x:c r="K59" s="1"/>
      <x:c r="L59" s="1"/>
    </x:row>
    <x:row r="60" ht="22" customHeight="1">
      <x:c r="A60" s="1"/>
      <x:c r="B60" s="1"/>
      <x:c r="C60" s="1"/>
      <x:c r="D60" s="4"/>
      <x:c r="E60" s="4"/>
      <x:c r="F60" s="4"/>
      <x:c r="G60" s="4"/>
      <x:c r="H60" s="4"/>
      <x:c r="I60" s="4"/>
      <x:c r="J60" s="1"/>
      <x:c r="K60" s="1"/>
      <x:c r="L60" s="1"/>
    </x:row>
    <x:row r="61" ht="22" customHeight="1">
      <x:c r="A61" s="1"/>
      <x:c r="B61" s="1"/>
      <x:c r="C61" s="1"/>
      <x:c r="D61" s="4"/>
      <x:c r="E61" s="4"/>
      <x:c r="F61" s="4"/>
      <x:c r="G61" s="4"/>
      <x:c r="H61" s="4"/>
      <x:c r="I61" s="4"/>
      <x:c r="J61" s="1"/>
      <x:c r="K61" s="1"/>
      <x:c r="L61" s="1"/>
    </x:row>
    <x:row r="62" ht="22" customHeight="1">
      <x:c r="A62" s="1"/>
      <x:c r="B62" s="1"/>
      <x:c r="C62" s="1"/>
      <x:c r="D62" s="4"/>
      <x:c r="E62" s="4"/>
      <x:c r="F62" s="4"/>
      <x:c r="G62" s="4"/>
      <x:c r="H62" s="4"/>
      <x:c r="I62" s="4"/>
      <x:c r="J62" s="1"/>
      <x:c r="K62" s="1"/>
      <x:c r="L62" s="1"/>
    </x:row>
    <x:row r="63" ht="22" customHeight="1">
      <x:c r="A63" s="1"/>
      <x:c r="B63" s="1"/>
      <x:c r="C63" s="1"/>
      <x:c r="D63" s="4"/>
      <x:c r="E63" s="4"/>
      <x:c r="F63" s="4"/>
      <x:c r="G63" s="4"/>
      <x:c r="H63" s="4"/>
      <x:c r="I63" s="4"/>
      <x:c r="J63" s="1"/>
      <x:c r="K63" s="1"/>
      <x:c r="L63" s="1"/>
    </x:row>
    <x:row r="64" ht="22" customHeight="1">
      <x:c r="A64" s="1"/>
      <x:c r="B64" s="1"/>
      <x:c r="C64" s="1"/>
      <x:c r="D64" s="4"/>
      <x:c r="E64" s="4"/>
      <x:c r="F64" s="4"/>
      <x:c r="G64" s="4"/>
      <x:c r="H64" s="4"/>
      <x:c r="I64" s="4"/>
      <x:c r="J64" s="1"/>
      <x:c r="K64" s="1"/>
      <x:c r="L64" s="1"/>
    </x:row>
    <x:row r="65" ht="22" customHeight="1">
      <x:c r="A65" s="1"/>
      <x:c r="B65" s="1"/>
      <x:c r="C65" s="1"/>
      <x:c r="D65" s="4"/>
      <x:c r="E65" s="4"/>
      <x:c r="F65" s="4"/>
      <x:c r="G65" s="4"/>
      <x:c r="H65" s="4"/>
      <x:c r="I65" s="4"/>
      <x:c r="J65" s="1"/>
      <x:c r="K65" s="1"/>
      <x:c r="L65" s="1"/>
    </x:row>
    <x:row r="66" ht="22" customHeight="1">
      <x:c r="A66" s="1"/>
      <x:c r="B66" s="1"/>
      <x:c r="C66" s="1"/>
      <x:c r="D66" s="4"/>
      <x:c r="E66" s="4"/>
      <x:c r="F66" s="4"/>
      <x:c r="G66" s="4"/>
      <x:c r="H66" s="4"/>
      <x:c r="I66" s="4"/>
      <x:c r="J66" s="1"/>
      <x:c r="K66" s="1"/>
      <x:c r="L66" s="1"/>
    </x:row>
    <x:row r="67" ht="22" customHeight="1">
      <x:c r="A67" s="1"/>
      <x:c r="B67" s="1"/>
      <x:c r="C67" s="1"/>
      <x:c r="D67" s="4"/>
      <x:c r="E67" s="4"/>
      <x:c r="F67" s="4"/>
      <x:c r="G67" s="4"/>
      <x:c r="H67" s="4"/>
      <x:c r="I67" s="4"/>
      <x:c r="J67" s="1"/>
      <x:c r="K67" s="1"/>
      <x:c r="L67" s="1"/>
    </x:row>
    <x:row r="68" ht="22" customHeight="1">
      <x:c r="A68" s="1"/>
      <x:c r="B68" s="1"/>
      <x:c r="C68" s="1"/>
      <x:c r="D68" s="4"/>
      <x:c r="E68" s="4"/>
      <x:c r="F68" s="4"/>
      <x:c r="G68" s="4"/>
      <x:c r="H68" s="4"/>
      <x:c r="I68" s="4"/>
      <x:c r="J68" s="1"/>
      <x:c r="K68" s="1"/>
      <x:c r="L68" s="1"/>
    </x:row>
    <x:row r="69" ht="22" customHeight="1">
      <x:c r="A69" s="1"/>
      <x:c r="B69" s="1"/>
      <x:c r="C69" s="1"/>
      <x:c r="D69" s="4"/>
      <x:c r="E69" s="4"/>
      <x:c r="F69" s="4"/>
      <x:c r="G69" s="4"/>
      <x:c r="H69" s="4"/>
      <x:c r="I69" s="4"/>
      <x:c r="J69" s="1"/>
      <x:c r="K69" s="1"/>
      <x:c r="L69" s="1"/>
    </x:row>
    <x:row r="70" ht="22" customHeight="1">
      <x:c r="A70" s="1"/>
      <x:c r="B70" s="1"/>
      <x:c r="C70" s="1"/>
      <x:c r="D70" s="4"/>
      <x:c r="E70" s="4"/>
      <x:c r="F70" s="4"/>
      <x:c r="G70" s="4"/>
      <x:c r="H70" s="4"/>
      <x:c r="I70" s="4"/>
      <x:c r="J70" s="1"/>
      <x:c r="K70" s="1"/>
      <x:c r="L70" s="1"/>
    </x:row>
    <x:row r="71" ht="22" customHeight="1">
      <x:c r="A71" s="1"/>
      <x:c r="B71" s="1"/>
      <x:c r="C71" s="1"/>
      <x:c r="D71" s="4"/>
      <x:c r="E71" s="4"/>
      <x:c r="F71" s="4"/>
      <x:c r="G71" s="4"/>
      <x:c r="H71" s="4"/>
      <x:c r="I71" s="4"/>
      <x:c r="J71" s="1"/>
      <x:c r="K71" s="1"/>
      <x:c r="L71" s="1"/>
    </x:row>
    <x:row r="72" ht="22" customHeight="1">
      <x:c r="A72" s="1"/>
      <x:c r="B72" s="1"/>
      <x:c r="C72" s="1"/>
      <x:c r="D72" s="4"/>
      <x:c r="E72" s="4"/>
      <x:c r="F72" s="4"/>
      <x:c r="G72" s="4"/>
      <x:c r="H72" s="4"/>
      <x:c r="I72" s="4"/>
      <x:c r="J72" s="1"/>
      <x:c r="K72" s="1"/>
      <x:c r="L72" s="1"/>
    </x:row>
    <x:row r="73" ht="22" customHeight="1">
      <x:c r="A73" s="1"/>
      <x:c r="B73" s="1"/>
      <x:c r="C73" s="1"/>
      <x:c r="D73" s="4"/>
      <x:c r="E73" s="4"/>
      <x:c r="F73" s="4"/>
      <x:c r="G73" s="4"/>
      <x:c r="H73" s="4"/>
      <x:c r="I73" s="4"/>
      <x:c r="J73" s="1"/>
      <x:c r="K73" s="1"/>
      <x:c r="L73" s="1"/>
    </x:row>
    <x:row r="74" ht="22" customHeight="1">
      <x:c r="A74" s="1"/>
      <x:c r="B74" s="1"/>
      <x:c r="C74" s="1"/>
      <x:c r="D74" s="4"/>
      <x:c r="E74" s="4"/>
      <x:c r="F74" s="4"/>
      <x:c r="G74" s="4"/>
      <x:c r="H74" s="4"/>
      <x:c r="I74" s="4"/>
      <x:c r="J74" s="1"/>
      <x:c r="K74" s="1"/>
      <x:c r="L74" s="1"/>
    </x:row>
    <x:row r="75" ht="22" customHeight="1">
      <x:c r="A75" s="1"/>
      <x:c r="B75" s="1"/>
      <x:c r="C75" s="1"/>
      <x:c r="D75" s="4"/>
      <x:c r="E75" s="4"/>
      <x:c r="F75" s="4"/>
      <x:c r="G75" s="4"/>
      <x:c r="H75" s="4"/>
      <x:c r="I75" s="4"/>
      <x:c r="J75" s="1"/>
      <x:c r="K75" s="1"/>
      <x:c r="L75" s="1"/>
    </x:row>
    <x:row r="76" ht="22" customHeight="1">
      <x:c r="A76" s="1"/>
      <x:c r="B76" s="1"/>
      <x:c r="C76" s="1"/>
      <x:c r="D76" s="4"/>
      <x:c r="E76" s="4"/>
      <x:c r="F76" s="4"/>
      <x:c r="G76" s="4"/>
      <x:c r="H76" s="4"/>
      <x:c r="I76" s="4"/>
      <x:c r="J76" s="1"/>
      <x:c r="K76" s="1"/>
      <x:c r="L76" s="1"/>
    </x:row>
    <x:row r="77" ht="22" customHeight="1">
      <x:c r="A77" s="1"/>
      <x:c r="B77" s="1"/>
      <x:c r="C77" s="1"/>
      <x:c r="D77" s="4"/>
      <x:c r="E77" s="4"/>
      <x:c r="F77" s="4"/>
      <x:c r="G77" s="4"/>
      <x:c r="H77" s="4"/>
      <x:c r="I77" s="4"/>
      <x:c r="J77" s="1"/>
      <x:c r="K77" s="1"/>
      <x:c r="L77" s="1"/>
    </x:row>
    <x:row r="78" ht="22" customHeight="1">
      <x:c r="A78" s="1"/>
      <x:c r="B78" s="1"/>
      <x:c r="C78" s="1"/>
      <x:c r="D78" s="4"/>
      <x:c r="E78" s="4"/>
      <x:c r="F78" s="4"/>
      <x:c r="G78" s="4"/>
      <x:c r="H78" s="4"/>
      <x:c r="I78" s="4"/>
      <x:c r="J78" s="1"/>
      <x:c r="K78" s="1"/>
      <x:c r="L78" s="1"/>
    </x:row>
    <x:row r="79" ht="22" customHeight="1">
      <x:c r="A79" s="1"/>
      <x:c r="B79" s="1"/>
      <x:c r="C79" s="1"/>
      <x:c r="D79" s="4"/>
      <x:c r="E79" s="4"/>
      <x:c r="F79" s="4"/>
      <x:c r="G79" s="4"/>
      <x:c r="H79" s="4"/>
      <x:c r="I79" s="4"/>
      <x:c r="J79" s="1"/>
      <x:c r="K79" s="1"/>
      <x:c r="L79" s="1"/>
    </x:row>
    <x:row r="80" ht="22" customHeight="1">
      <x:c r="A80" s="1"/>
      <x:c r="B80" s="1"/>
      <x:c r="C80" s="1"/>
      <x:c r="D80" s="4"/>
      <x:c r="E80" s="4"/>
      <x:c r="F80" s="4"/>
      <x:c r="G80" s="4"/>
      <x:c r="H80" s="4"/>
      <x:c r="I80" s="4"/>
      <x:c r="J80" s="1"/>
      <x:c r="K80" s="1"/>
      <x:c r="L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893A8"/>
  </x:sheetPr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6" hidden="0" customWidth="1"/>
    <x:col min="11" max="11" width="26" hidden="0" customWidth="1"/>
    <x:col min="12" max="12" width="2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Inputs</x:v>
      </x:c>
      <x:c r="D2" s="2"/>
      <x:c r="E2" s="2"/>
      <x:c r="F2" s="2"/>
      <x:c r="G2" s="2"/>
      <x:c r="H2" s="2"/>
      <x:c r="I2" s="2"/>
      <x:c r="J2" s="1"/>
      <x:c r="K2" s="1"/>
      <x:c r="L2" s="1"/>
    </x:row>
    <x:row r="3" ht="22" customHeight="1">
      <x:c r="A3" s="1"/>
      <x:c r="B3" s="1"/>
      <x:c r="C3" s="1" t="str">
        <x:v>Case selected</x:v>
      </x:c>
      <x:c r="D3" s="1" t="str">
        <x:v>Base</x:v>
      </x:c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 t="str">
        <x:v>Case selected</x:v>
      </x:c>
      <x:c r="D4" s="3" t="str">
        <x:v>One control in D3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</x:row>
    <x:row r="7" ht="22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</x:row>
    <x:row r="8" ht="27" customHeight="1">
      <x:c r="A8" s="1"/>
      <x:c r="B8" s="1"/>
      <x:c r="C8" s="18" t="str">
        <x:v>Input</x:v>
      </x:c>
      <x:c r="D8" s="19" t="str">
        <x:v>Active</x:v>
      </x:c>
      <x:c r="E8" s="19" t="str">
        <x:v>Bear</x:v>
      </x:c>
      <x:c r="F8" s="19" t="str">
        <x:v>Base</x:v>
      </x:c>
      <x:c r="G8" s="19" t="str">
        <x:v>Bull</x:v>
      </x:c>
      <x:c r="H8" s="4"/>
      <x:c r="I8" s="4"/>
      <x:c r="J8" s="1"/>
      <x:c r="K8" s="1"/>
      <x:c r="L8" s="1"/>
    </x:row>
    <x:row r="9" ht="22" customHeight="1">
      <x:c r="A9" s="1"/>
      <x:c r="B9" s="1"/>
      <x:c r="C9" s="1" t="str">
        <x:v>wacc</x:v>
      </x:c>
      <x:c r="D9" s="5" t="n">
        <x:f>IF($D$3="Bear",E9,IF($D$3="Bull",G9,F9))</x:f>
        <x:v>0.105</x:v>
      </x:c>
      <x:c r="E9" s="6" t="n">
        <x:v>0.12</x:v>
      </x:c>
      <x:c r="F9" s="6" t="n">
        <x:v>0.105</x:v>
      </x:c>
      <x:c r="G9" s="6" t="n">
        <x:v>0.1</x:v>
      </x:c>
      <x:c r="H9" s="4"/>
      <x:c r="I9" s="4"/>
      <x:c r="J9" s="1"/>
      <x:c r="K9" s="1"/>
      <x:c r="L9" s="1"/>
    </x:row>
    <x:row r="10" ht="22" customHeight="1">
      <x:c r="A10" s="1"/>
      <x:c r="B10" s="1"/>
      <x:c r="C10" s="1" t="str">
        <x:v>ke</x:v>
      </x:c>
      <x:c r="D10" s="5" t="n">
        <x:f>IF($D$3="Bear",E10,IF($D$3="Bull",G10,F10))</x:f>
        <x:v>0.11</x:v>
      </x:c>
      <x:c r="E10" s="6" t="n">
        <x:v>0.12</x:v>
      </x:c>
      <x:c r="F10" s="6" t="n">
        <x:v>0.11</x:v>
      </x:c>
      <x:c r="G10" s="6" t="n">
        <x:v>0.105</x:v>
      </x:c>
      <x:c r="H10" s="4"/>
      <x:c r="I10" s="4"/>
      <x:c r="J10" s="1"/>
      <x:c r="K10" s="1"/>
      <x:c r="L10" s="1"/>
    </x:row>
    <x:row r="11" ht="22" customHeight="1">
      <x:c r="A11" s="1"/>
      <x:c r="B11" s="1"/>
      <x:c r="C11" s="1" t="str">
        <x:v>g</x:v>
      </x:c>
      <x:c r="D11" s="5" t="n">
        <x:f>IF($D$3="Bear",E11,IF($D$3="Bull",G11,F11))</x:f>
        <x:v>0.02</x:v>
      </x:c>
      <x:c r="E11" s="6" t="n">
        <x:v>0.015</x:v>
      </x:c>
      <x:c r="F11" s="6" t="n">
        <x:v>0.02</x:v>
      </x:c>
      <x:c r="G11" s="6" t="n">
        <x:v>0.02</x:v>
      </x:c>
      <x:c r="H11" s="4"/>
      <x:c r="I11" s="4"/>
      <x:c r="J11" s="1"/>
      <x:c r="K11" s="1"/>
      <x:c r="L11" s="1"/>
    </x:row>
    <x:row r="12" ht="22" customHeight="1">
      <x:c r="A12" s="1"/>
      <x:c r="B12" s="1"/>
      <x:c r="C12" s="1" t="str">
        <x:v>roic</x:v>
      </x:c>
      <x:c r="D12" s="5" t="n">
        <x:f>IF($D$3="Bear",E12,IF($D$3="Bull",G12,F12))</x:f>
        <x:v>0.13</x:v>
      </x:c>
      <x:c r="E12" s="6" t="n">
        <x:v>0.12</x:v>
      </x:c>
      <x:c r="F12" s="6" t="n">
        <x:v>0.13</x:v>
      </x:c>
      <x:c r="G12" s="6" t="n">
        <x:v>0.15</x:v>
      </x:c>
      <x:c r="H12" s="4"/>
      <x:c r="I12" s="4"/>
      <x:c r="J12" s="1"/>
      <x:c r="K12" s="1"/>
      <x:c r="L12" s="1"/>
    </x:row>
    <x:row r="13" ht="22" customHeight="1">
      <x:c r="A13" s="1"/>
      <x:c r="B13" s="1"/>
      <x:c r="C13" s="1" t="str">
        <x:v>roe</x:v>
      </x:c>
      <x:c r="D13" s="5" t="n">
        <x:f>IF($D$3="Bear",E13,IF($D$3="Bull",G13,F13))</x:f>
        <x:v>0.12</x:v>
      </x:c>
      <x:c r="E13" s="6" t="n">
        <x:v>0.1</x:v>
      </x:c>
      <x:c r="F13" s="6" t="n">
        <x:v>0.12</x:v>
      </x:c>
      <x:c r="G13" s="6" t="n">
        <x:v>0.14</x:v>
      </x:c>
      <x:c r="H13" s="4"/>
      <x:c r="I13" s="4"/>
      <x:c r="J13" s="1"/>
      <x:c r="K13" s="1"/>
      <x:c r="L13" s="1"/>
    </x:row>
    <x:row r="14" ht="22" customHeight="1">
      <x:c r="A14" s="1"/>
      <x:c r="B14" s="1"/>
      <x:c r="C14" s="1" t="str">
        <x:v>payout</x:v>
      </x:c>
      <x:c r="D14" s="5" t="n">
        <x:f>IF($D$3="Bear",E14,IF($D$3="Bull",G14,F14))</x:f>
        <x:v>0.25</x:v>
      </x:c>
      <x:c r="E14" s="6" t="n">
        <x:v>0.25</x:v>
      </x:c>
      <x:c r="F14" s="6" t="n">
        <x:v>0.25</x:v>
      </x:c>
      <x:c r="G14" s="6" t="n">
        <x:v>0.25</x:v>
      </x:c>
      <x:c r="H14" s="4"/>
      <x:c r="I14" s="4"/>
      <x:c r="J14" s="1"/>
      <x:c r="K14" s="1"/>
      <x:c r="L14" s="1"/>
    </x:row>
    <x:row r="15" ht="22" customHeight="1">
      <x:c r="A15" s="1"/>
      <x:c r="B15" s="1"/>
      <x:c r="C15" s="1" t="str">
        <x:v>pergrowth</x:v>
      </x:c>
      <x:c r="D15" s="5" t="n">
        <x:f>IF($D$3="Bear",E15,IF($D$3="Bull",G15,F15))</x:f>
        <x:v>0.07</x:v>
      </x:c>
      <x:c r="E15" s="6" t="n">
        <x:v>0.03</x:v>
      </x:c>
      <x:c r="F15" s="6" t="n">
        <x:v>0.07</x:v>
      </x:c>
      <x:c r="G15" s="6" t="n">
        <x:v>0.1</x:v>
      </x:c>
      <x:c r="H15" s="4"/>
      <x:c r="I15" s="4"/>
      <x:c r="J15" s="1"/>
      <x:c r="K15" s="1"/>
      <x:c r="L15" s="1"/>
    </x:row>
    <x:row r="16" ht="22" customHeight="1">
      <x:c r="A16" s="1"/>
      <x:c r="B16" s="1"/>
      <x:c r="C16" s="1" t="str">
        <x:v>perroe</x:v>
      </x:c>
      <x:c r="D16" s="5" t="n">
        <x:f>IF($D$3="Bear",E16,IF($D$3="Bull",G16,F16))</x:f>
        <x:v>0.17</x:v>
      </x:c>
      <x:c r="E16" s="6" t="n">
        <x:v>0.12</x:v>
      </x:c>
      <x:c r="F16" s="6" t="n">
        <x:v>0.17</x:v>
      </x:c>
      <x:c r="G16" s="6" t="n">
        <x:v>0.2</x:v>
      </x:c>
      <x:c r="H16" s="4"/>
      <x:c r="I16" s="4"/>
      <x:c r="J16" s="1"/>
      <x:c r="K16" s="1"/>
      <x:c r="L16" s="1"/>
    </x:row>
    <x:row r="17" ht="22" customHeight="1">
      <x:c r="A17" s="1"/>
      <x:c r="B17" s="1"/>
      <x:c r="C17" s="1" t="str">
        <x:v>permargin</x:v>
      </x:c>
      <x:c r="D17" s="5" t="n">
        <x:f>IF($D$3="Bear",E17,IF($D$3="Bull",G17,F17))</x:f>
        <x:v>0.195</x:v>
      </x:c>
      <x:c r="E17" s="6" t="n">
        <x:v>0.175</x:v>
      </x:c>
      <x:c r="F17" s="6" t="n">
        <x:v>0.195</x:v>
      </x:c>
      <x:c r="G17" s="6" t="n">
        <x:v>0.21</x:v>
      </x:c>
      <x:c r="H17" s="4"/>
      <x:c r="I17" s="4"/>
      <x:c r="J17" s="1"/>
      <x:c r="K17" s="1"/>
      <x:c r="L17" s="1"/>
    </x:row>
    <x:row r="18" ht="22" customHeight="1">
      <x:c r="A18" s="1"/>
      <x:c r="B18" s="1"/>
      <x:c r="C18" s="1" t="str">
        <x:v>rev26</x:v>
      </x:c>
      <x:c r="D18" s="4" t="n">
        <x:f>IF($D$3="Bear",E18,IF($D$3="Bull",G18,F18))</x:f>
        <x:v>263.2</x:v>
      </x:c>
      <x:c r="E18" s="7" t="n">
        <x:v>253.5</x:v>
      </x:c>
      <x:c r="F18" s="7" t="n">
        <x:v>263.2</x:v>
      </x:c>
      <x:c r="G18" s="7" t="n">
        <x:v>275.4</x:v>
      </x:c>
      <x:c r="H18" s="4"/>
      <x:c r="I18" s="4"/>
      <x:c r="J18" s="1"/>
      <x:c r="K18" s="1"/>
      <x:c r="L18" s="1"/>
    </x:row>
    <x:row r="19" ht="22" customHeight="1">
      <x:c r="A19" s="1"/>
      <x:c r="B19" s="1"/>
      <x:c r="C19" s="1" t="str">
        <x:v>tax</x:v>
      </x:c>
      <x:c r="D19" s="5" t="n">
        <x:f>IF($D$3="Bear",E19,IF($D$3="Bull",G19,F19))</x:f>
        <x:v>0.24</x:v>
      </x:c>
      <x:c r="E19" s="6" t="n">
        <x:v>0.24</x:v>
      </x:c>
      <x:c r="F19" s="6" t="n">
        <x:v>0.24</x:v>
      </x:c>
      <x:c r="G19" s="6" t="n">
        <x:v>0.24</x:v>
      </x:c>
      <x:c r="H19" s="4"/>
      <x:c r="I19" s="4"/>
      <x:c r="J19" s="1"/>
      <x:c r="K19" s="1"/>
      <x:c r="L19" s="1"/>
    </x:row>
    <x:row r="20" ht="22" customHeight="1">
      <x:c r="A20" s="1"/>
      <x:c r="B20" s="1"/>
      <x:c r="C20" s="1" t="str">
        <x:v>interest</x:v>
      </x:c>
      <x:c r="D20" s="5" t="n">
        <x:f>IF($D$3="Bear",E20,IF($D$3="Bull",G20,F20))</x:f>
        <x:v>0.025</x:v>
      </x:c>
      <x:c r="E20" s="6" t="n">
        <x:v>0.025</x:v>
      </x:c>
      <x:c r="F20" s="6" t="n">
        <x:v>0.025</x:v>
      </x:c>
      <x:c r="G20" s="6" t="n">
        <x:v>0.025</x:v>
      </x:c>
      <x:c r="H20" s="4"/>
      <x:c r="I20" s="4"/>
      <x:c r="J20" s="1"/>
      <x:c r="K20" s="1"/>
      <x:c r="L20" s="1"/>
    </x:row>
    <x:row r="21" ht="22" customHeight="1">
      <x:c r="A21" s="1"/>
      <x:c r="B21" s="1"/>
      <x:c r="C21" s="1" t="str">
        <x:v>h2div</x:v>
      </x:c>
      <x:c r="D21" s="4" t="n">
        <x:f>IF($D$3="Bear",E21,IF($D$3="Bull",G21,F21))</x:f>
        <x:v>3</x:v>
      </x:c>
      <x:c r="E21" s="7" t="n">
        <x:v>3</x:v>
      </x:c>
      <x:c r="F21" s="7" t="n">
        <x:v>3</x:v>
      </x:c>
      <x:c r="G21" s="7" t="n">
        <x:v>3</x:v>
      </x:c>
      <x:c r="H21" s="4"/>
      <x:c r="I21" s="4"/>
      <x:c r="J21" s="1"/>
      <x:c r="K21" s="1"/>
      <x:c r="L21" s="1"/>
    </x:row>
    <x:row r="22" ht="22" customHeight="1">
      <x:c r="A22" s="1"/>
      <x:c r="B22" s="1"/>
      <x:c r="C22" s="1" t="str">
        <x:v>h2buyback</x:v>
      </x:c>
      <x:c r="D22" s="4" t="n">
        <x:f>IF($D$3="Bear",E22,IF($D$3="Bull",G22,F22))</x:f>
        <x:v>0</x:v>
      </x:c>
      <x:c r="E22" s="7" t="n">
        <x:v>0</x:v>
      </x:c>
      <x:c r="F22" s="7" t="n">
        <x:v>0</x:v>
      </x:c>
      <x:c r="G22" s="7" t="n">
        <x:v>0</x:v>
      </x:c>
      <x:c r="H22" s="4"/>
      <x:c r="I22" s="4"/>
      <x:c r="J22" s="1"/>
      <x:c r="K22" s="1"/>
      <x:c r="L22" s="1"/>
    </x:row>
    <x:row r="23" ht="22" customHeight="1">
      <x:c r="A23" s="1"/>
      <x:c r="B23" s="1"/>
      <x:c r="C23" s="1" t="str">
        <x:v>capital</x:v>
      </x:c>
      <x:c r="D23" s="4" t="n">
        <x:f>IF($D$3="Bear",E23,IF($D$3="Bull",G23,F23))</x:f>
        <x:v>0</x:v>
      </x:c>
      <x:c r="E23" s="7" t="n">
        <x:v>0</x:v>
      </x:c>
      <x:c r="F23" s="7" t="n">
        <x:v>0</x:v>
      </x:c>
      <x:c r="G23" s="7" t="n">
        <x:v>0</x:v>
      </x:c>
      <x:c r="H23" s="4"/>
      <x:c r="I23" s="4"/>
      <x:c r="J23" s="1"/>
      <x:c r="K23" s="1"/>
      <x:c r="L23" s="1"/>
    </x:row>
    <x:row r="24" ht="22" customHeight="1">
      <x:c r="A24" s="1"/>
      <x:c r="B24" s="1"/>
      <x:c r="C24" s="1" t="str">
        <x:v>addshares</x:v>
      </x:c>
      <x:c r="D24" s="4" t="n">
        <x:f>IF($D$3="Bear",E24,IF($D$3="Bull",G24,F24))</x:f>
        <x:v>0</x:v>
      </x:c>
      <x:c r="E24" s="7" t="n">
        <x:v>0</x:v>
      </x:c>
      <x:c r="F24" s="7" t="n">
        <x:v>0</x:v>
      </x:c>
      <x:c r="G24" s="7" t="n">
        <x:v>0</x:v>
      </x:c>
      <x:c r="H24" s="4"/>
      <x:c r="I24" s="4"/>
      <x:c r="J24" s="1"/>
      <x:c r="K24" s="1"/>
      <x:c r="L24" s="1"/>
    </x:row>
    <x:row r="25" ht="22" customHeight="1">
      <x:c r="A25" s="1"/>
      <x:c r="B25" s="1"/>
      <x:c r="C25" s="1" t="str">
        <x:v>reference_price</x:v>
      </x:c>
      <x:c r="D25" s="4" t="n">
        <x:f>IF($D$3="Bear",E25,IF($D$3="Bull",G25,F25))</x:f>
        <x:v>43250</x:v>
      </x:c>
      <x:c r="E25" s="7" t="n">
        <x:v>43250</x:v>
      </x:c>
      <x:c r="F25" s="7" t="n">
        <x:v>43250</x:v>
      </x:c>
      <x:c r="G25" s="7" t="n">
        <x:v>43250</x:v>
      </x:c>
      <x:c r="H25" s="4"/>
      <x:c r="I25" s="4"/>
      <x:c r="J25" s="1"/>
      <x:c r="K25" s="1"/>
      <x:c r="L25" s="1"/>
    </x:row>
    <x:row r="26" ht="22" customHeight="1">
      <x:c r="A26" s="1"/>
      <x:c r="B26" s="1"/>
      <x:c r="C26" s="1"/>
      <x:c r="D26" s="4"/>
      <x:c r="E26" s="4"/>
      <x:c r="F26" s="4"/>
      <x:c r="G26" s="4"/>
      <x:c r="H26" s="4"/>
      <x:c r="I26" s="4"/>
      <x:c r="J26" s="1"/>
      <x:c r="K26" s="1"/>
      <x:c r="L26" s="1"/>
    </x:row>
    <x:row r="27" ht="22" customHeight="1">
      <x:c r="A27" s="1"/>
      <x:c r="B27" s="1"/>
      <x:c r="C27" s="1"/>
      <x:c r="D27" s="4"/>
      <x:c r="E27" s="4"/>
      <x:c r="F27" s="4"/>
      <x:c r="G27" s="4"/>
      <x:c r="H27" s="4"/>
      <x:c r="I27" s="4"/>
      <x:c r="J27" s="1"/>
      <x:c r="K27" s="1"/>
      <x:c r="L27" s="1"/>
    </x:row>
    <x:row r="28" ht="22" customHeight="1">
      <x:c r="A28" s="1"/>
      <x:c r="B28" s="1"/>
      <x:c r="C28" s="1"/>
      <x:c r="D28" s="4"/>
      <x:c r="E28" s="4"/>
      <x:c r="F28" s="4"/>
      <x:c r="G28" s="4"/>
      <x:c r="H28" s="4"/>
      <x:c r="I28" s="4"/>
      <x:c r="J28" s="1"/>
      <x:c r="K28" s="1"/>
      <x:c r="L28" s="1"/>
    </x:row>
    <x:row r="29" ht="22" customHeight="1">
      <x:c r="A29" s="1"/>
      <x:c r="B29" s="1"/>
      <x:c r="C29" s="1"/>
      <x:c r="D29" s="4"/>
      <x:c r="E29" s="4"/>
      <x:c r="F29" s="4"/>
      <x:c r="G29" s="4"/>
      <x:c r="H29" s="4"/>
      <x:c r="I29" s="4"/>
      <x:c r="J29" s="1"/>
      <x:c r="K29" s="1"/>
      <x:c r="L29" s="1"/>
    </x:row>
    <x:row r="30" ht="27" customHeight="1">
      <x:c r="A30" s="1"/>
      <x:c r="B30" s="1"/>
      <x:c r="C30" s="18"/>
      <x:c r="D30" s="19" t="n">
        <x:v>2026</x:v>
      </x:c>
      <x:c r="E30" s="19" t="n">
        <x:v>2027</x:v>
      </x:c>
      <x:c r="F30" s="19" t="n">
        <x:v>2028</x:v>
      </x:c>
      <x:c r="G30" s="19" t="n">
        <x:v>2029</x:v>
      </x:c>
      <x:c r="H30" s="19" t="n">
        <x:v>2030</x:v>
      </x:c>
      <x:c r="I30" s="19" t="n">
        <x:v>2031</x:v>
      </x:c>
      <x:c r="J30" s="1"/>
      <x:c r="K30" s="1"/>
      <x:c r="L30" s="1"/>
    </x:row>
    <x:row r="31" ht="22" customHeight="1">
      <x:c r="A31" s="1"/>
      <x:c r="B31" s="1"/>
      <x:c r="C31" s="1"/>
      <x:c r="D31" s="4"/>
      <x:c r="E31" s="4"/>
      <x:c r="F31" s="4"/>
      <x:c r="G31" s="4"/>
      <x:c r="H31" s="4"/>
      <x:c r="I31" s="4"/>
      <x:c r="J31" s="1"/>
      <x:c r="K31" s="1"/>
      <x:c r="L31" s="1"/>
    </x:row>
    <x:row r="32" ht="22" customHeight="1">
      <x:c r="A32" s="1"/>
      <x:c r="B32" s="1"/>
      <x:c r="C32" s="1" t="str">
        <x:v>growth Active</x:v>
      </x:c>
      <x:c r="D32" s="5" t="n">
        <x:f>IF($D$3="Bear",D33,IF($D$3="Bull",D35,D34))</x:f>
        <x:v>0</x:v>
      </x:c>
      <x:c r="E32" s="5" t="n">
        <x:f>IF($D$3="Bear",E33,IF($D$3="Bull",E35,E34))</x:f>
        <x:v>0.08</x:v>
      </x:c>
      <x:c r="F32" s="5" t="n">
        <x:f>IF($D$3="Bear",F33,IF($D$3="Bull",F35,F34))</x:f>
        <x:v>0.08</x:v>
      </x:c>
      <x:c r="G32" s="5" t="n">
        <x:f>IF($D$3="Bear",G33,IF($D$3="Bull",G35,G34))</x:f>
        <x:v>0.07</x:v>
      </x:c>
      <x:c r="H32" s="5" t="n">
        <x:f>IF($D$3="Bear",H33,IF($D$3="Bull",H35,H34))</x:f>
        <x:v>0.06</x:v>
      </x:c>
      <x:c r="I32" s="5" t="n">
        <x:f>IF($D$3="Bear",I33,IF($D$3="Bull",I35,I34))</x:f>
        <x:v>0.05</x:v>
      </x:c>
      <x:c r="J32" s="1"/>
      <x:c r="K32" s="1"/>
      <x:c r="L32" s="1"/>
    </x:row>
    <x:row r="33" ht="22" customHeight="1">
      <x:c r="A33" s="1"/>
      <x:c r="B33" s="1"/>
      <x:c r="C33" s="1" t="str">
        <x:v>Bear</x:v>
      </x:c>
      <x:c r="D33" s="6" t="n">
        <x:v>0</x:v>
      </x:c>
      <x:c r="E33" s="6" t="n">
        <x:v>0.04</x:v>
      </x:c>
      <x:c r="F33" s="6" t="n">
        <x:v>0.04</x:v>
      </x:c>
      <x:c r="G33" s="6" t="n">
        <x:v>0.03</x:v>
      </x:c>
      <x:c r="H33" s="6" t="n">
        <x:v>0.03</x:v>
      </x:c>
      <x:c r="I33" s="6" t="n">
        <x:v>0.03</x:v>
      </x:c>
      <x:c r="J33" s="1"/>
      <x:c r="K33" s="1"/>
      <x:c r="L33" s="1"/>
    </x:row>
    <x:row r="34" ht="22" customHeight="1">
      <x:c r="A34" s="1"/>
      <x:c r="B34" s="1"/>
      <x:c r="C34" s="1" t="str">
        <x:v>Base</x:v>
      </x:c>
      <x:c r="D34" s="6" t="n">
        <x:v>0</x:v>
      </x:c>
      <x:c r="E34" s="6" t="n">
        <x:v>0.08</x:v>
      </x:c>
      <x:c r="F34" s="6" t="n">
        <x:v>0.08</x:v>
      </x:c>
      <x:c r="G34" s="6" t="n">
        <x:v>0.07</x:v>
      </x:c>
      <x:c r="H34" s="6" t="n">
        <x:v>0.06</x:v>
      </x:c>
      <x:c r="I34" s="6" t="n">
        <x:v>0.05</x:v>
      </x:c>
      <x:c r="J34" s="1"/>
      <x:c r="K34" s="1"/>
      <x:c r="L34" s="1"/>
    </x:row>
    <x:row r="35" ht="22" customHeight="1">
      <x:c r="A35" s="1"/>
      <x:c r="B35" s="1"/>
      <x:c r="C35" s="1" t="str">
        <x:v>Bull</x:v>
      </x:c>
      <x:c r="D35" s="6" t="n">
        <x:v>0</x:v>
      </x:c>
      <x:c r="E35" s="6" t="n">
        <x:v>0.13</x:v>
      </x:c>
      <x:c r="F35" s="6" t="n">
        <x:v>0.12</x:v>
      </x:c>
      <x:c r="G35" s="6" t="n">
        <x:v>0.1</x:v>
      </x:c>
      <x:c r="H35" s="6" t="n">
        <x:v>0.08</x:v>
      </x:c>
      <x:c r="I35" s="6" t="n">
        <x:v>0.06</x:v>
      </x:c>
      <x:c r="J35" s="1"/>
      <x:c r="K35" s="1"/>
      <x:c r="L35" s="1"/>
    </x:row>
    <x:row r="36" ht="22" customHeight="1">
      <x:c r="A36" s="1"/>
      <x:c r="B36" s="1"/>
      <x:c r="C36" s="1"/>
      <x:c r="D36" s="4"/>
      <x:c r="E36" s="4"/>
      <x:c r="F36" s="4"/>
      <x:c r="G36" s="4"/>
      <x:c r="H36" s="4"/>
      <x:c r="I36" s="4"/>
      <x:c r="J36" s="1"/>
      <x:c r="K36" s="1"/>
      <x:c r="L36" s="1"/>
    </x:row>
    <x:row r="37" ht="22" customHeight="1">
      <x:c r="A37" s="1"/>
      <x:c r="B37" s="1"/>
      <x:c r="C37" s="1" t="str">
        <x:v>margin Active</x:v>
      </x:c>
      <x:c r="D37" s="5" t="n">
        <x:f>IF($D$3="Bear",D38,IF($D$3="Bull",D40,D39))</x:f>
        <x:v>0.195</x:v>
      </x:c>
      <x:c r="E37" s="5" t="n">
        <x:f>IF($D$3="Bear",E38,IF($D$3="Bull",E40,E39))</x:f>
        <x:v>0.195</x:v>
      </x:c>
      <x:c r="F37" s="5" t="n">
        <x:f>IF($D$3="Bear",F38,IF($D$3="Bull",F40,F39))</x:f>
        <x:v>0.2</x:v>
      </x:c>
      <x:c r="G37" s="5" t="n">
        <x:f>IF($D$3="Bear",G38,IF($D$3="Bull",G40,G39))</x:f>
        <x:v>0.2</x:v>
      </x:c>
      <x:c r="H37" s="5" t="n">
        <x:f>IF($D$3="Bear",H38,IF($D$3="Bull",H40,H39))</x:f>
        <x:v>0.2</x:v>
      </x:c>
      <x:c r="I37" s="5" t="n">
        <x:f>IF($D$3="Bear",I38,IF($D$3="Bull",I40,I39))</x:f>
        <x:v>0.2</x:v>
      </x:c>
      <x:c r="J37" s="1"/>
      <x:c r="K37" s="1"/>
      <x:c r="L37" s="1"/>
    </x:row>
    <x:row r="38" ht="22" customHeight="1">
      <x:c r="A38" s="1"/>
      <x:c r="B38" s="1"/>
      <x:c r="C38" s="1" t="str">
        <x:v>Bear</x:v>
      </x:c>
      <x:c r="D38" s="6" t="n">
        <x:v>0.18</x:v>
      </x:c>
      <x:c r="E38" s="6" t="n">
        <x:v>0.175</x:v>
      </x:c>
      <x:c r="F38" s="6" t="n">
        <x:v>0.175</x:v>
      </x:c>
      <x:c r="G38" s="6" t="n">
        <x:v>0.175</x:v>
      </x:c>
      <x:c r="H38" s="6" t="n">
        <x:v>0.175</x:v>
      </x:c>
      <x:c r="I38" s="6" t="n">
        <x:v>0.175</x:v>
      </x:c>
      <x:c r="J38" s="1"/>
      <x:c r="K38" s="1"/>
      <x:c r="L38" s="1"/>
    </x:row>
    <x:row r="39" ht="22" customHeight="1">
      <x:c r="A39" s="1"/>
      <x:c r="B39" s="1"/>
      <x:c r="C39" s="1" t="str">
        <x:v>Base</x:v>
      </x:c>
      <x:c r="D39" s="6" t="n">
        <x:v>0.195</x:v>
      </x:c>
      <x:c r="E39" s="6" t="n">
        <x:v>0.195</x:v>
      </x:c>
      <x:c r="F39" s="6" t="n">
        <x:v>0.2</x:v>
      </x:c>
      <x:c r="G39" s="6" t="n">
        <x:v>0.2</x:v>
      </x:c>
      <x:c r="H39" s="6" t="n">
        <x:v>0.2</x:v>
      </x:c>
      <x:c r="I39" s="6" t="n">
        <x:v>0.2</x:v>
      </x:c>
      <x:c r="J39" s="1"/>
      <x:c r="K39" s="1"/>
      <x:c r="L39" s="1"/>
    </x:row>
    <x:row r="40" ht="22" customHeight="1">
      <x:c r="A40" s="1"/>
      <x:c r="B40" s="1"/>
      <x:c r="C40" s="1" t="str">
        <x:v>Bull</x:v>
      </x:c>
      <x:c r="D40" s="6" t="n">
        <x:v>0.205</x:v>
      </x:c>
      <x:c r="E40" s="6" t="n">
        <x:v>0.21</x:v>
      </x:c>
      <x:c r="F40" s="6" t="n">
        <x:v>0.215</x:v>
      </x:c>
      <x:c r="G40" s="6" t="n">
        <x:v>0.215</x:v>
      </x:c>
      <x:c r="H40" s="6" t="n">
        <x:v>0.21</x:v>
      </x:c>
      <x:c r="I40" s="6" t="n">
        <x:v>0.21</x:v>
      </x:c>
      <x:c r="J40" s="1"/>
      <x:c r="K40" s="1"/>
      <x:c r="L40" s="1"/>
    </x:row>
    <x:row r="41" ht="22" customHeight="1">
      <x:c r="A41" s="1"/>
      <x:c r="B41" s="1"/>
      <x:c r="C41" s="1"/>
      <x:c r="D41" s="4"/>
      <x:c r="E41" s="4"/>
      <x:c r="F41" s="4"/>
      <x:c r="G41" s="4"/>
      <x:c r="H41" s="4"/>
      <x:c r="I41" s="4"/>
      <x:c r="J41" s="1"/>
      <x:c r="K41" s="1"/>
      <x:c r="L41" s="1"/>
    </x:row>
    <x:row r="42" ht="22" customHeight="1">
      <x:c r="A42" s="1"/>
      <x:c r="B42" s="1"/>
      <x:c r="C42" s="1" t="str">
        <x:v>da Active</x:v>
      </x:c>
      <x:c r="D42" s="4" t="n">
        <x:f>IF($D$3="Bear",D43,IF($D$3="Bull",D45,D44))</x:f>
        <x:v>17</x:v>
      </x:c>
      <x:c r="E42" s="4" t="n">
        <x:f>IF($D$3="Bear",E43,IF($D$3="Bull",E45,E44))</x:f>
        <x:v>19</x:v>
      </x:c>
      <x:c r="F42" s="4" t="n">
        <x:f>IF($D$3="Bear",F43,IF($D$3="Bull",F45,F44))</x:f>
        <x:v>21</x:v>
      </x:c>
      <x:c r="G42" s="4" t="n">
        <x:f>IF($D$3="Bear",G43,IF($D$3="Bull",G45,G44))</x:f>
        <x:v>23</x:v>
      </x:c>
      <x:c r="H42" s="4" t="n">
        <x:f>IF($D$3="Bear",H43,IF($D$3="Bull",H45,H44))</x:f>
        <x:v>25</x:v>
      </x:c>
      <x:c r="I42" s="4" t="n">
        <x:f>IF($D$3="Bear",I43,IF($D$3="Bull",I45,I44))</x:f>
        <x:v>27</x:v>
      </x:c>
      <x:c r="J42" s="1"/>
      <x:c r="K42" s="1"/>
      <x:c r="L42" s="1"/>
    </x:row>
    <x:row r="43" ht="22" customHeight="1">
      <x:c r="A43" s="1"/>
      <x:c r="B43" s="1"/>
      <x:c r="C43" s="1" t="str">
        <x:v>Bear</x:v>
      </x:c>
      <x:c r="D43" s="7" t="n">
        <x:v>17</x:v>
      </x:c>
      <x:c r="E43" s="7" t="n">
        <x:v>19</x:v>
      </x:c>
      <x:c r="F43" s="7" t="n">
        <x:v>21</x:v>
      </x:c>
      <x:c r="G43" s="7" t="n">
        <x:v>23</x:v>
      </x:c>
      <x:c r="H43" s="7" t="n">
        <x:v>25</x:v>
      </x:c>
      <x:c r="I43" s="7" t="n">
        <x:v>27</x:v>
      </x:c>
      <x:c r="J43" s="1"/>
      <x:c r="K43" s="1"/>
      <x:c r="L43" s="1"/>
    </x:row>
    <x:row r="44" ht="22" customHeight="1">
      <x:c r="A44" s="1"/>
      <x:c r="B44" s="1"/>
      <x:c r="C44" s="1" t="str">
        <x:v>Base</x:v>
      </x:c>
      <x:c r="D44" s="7" t="n">
        <x:v>17</x:v>
      </x:c>
      <x:c r="E44" s="7" t="n">
        <x:v>19</x:v>
      </x:c>
      <x:c r="F44" s="7" t="n">
        <x:v>21</x:v>
      </x:c>
      <x:c r="G44" s="7" t="n">
        <x:v>23</x:v>
      </x:c>
      <x:c r="H44" s="7" t="n">
        <x:v>25</x:v>
      </x:c>
      <x:c r="I44" s="7" t="n">
        <x:v>27</x:v>
      </x:c>
      <x:c r="J44" s="1"/>
      <x:c r="K44" s="1"/>
      <x:c r="L44" s="1"/>
    </x:row>
    <x:row r="45" ht="22" customHeight="1">
      <x:c r="A45" s="1"/>
      <x:c r="B45" s="1"/>
      <x:c r="C45" s="1" t="str">
        <x:v>Bull</x:v>
      </x:c>
      <x:c r="D45" s="7" t="n">
        <x:v>17</x:v>
      </x:c>
      <x:c r="E45" s="7" t="n">
        <x:v>20</x:v>
      </x:c>
      <x:c r="F45" s="7" t="n">
        <x:v>23</x:v>
      </x:c>
      <x:c r="G45" s="7" t="n">
        <x:v>26</x:v>
      </x:c>
      <x:c r="H45" s="7" t="n">
        <x:v>29</x:v>
      </x:c>
      <x:c r="I45" s="7" t="n">
        <x:v>32</x:v>
      </x:c>
      <x:c r="J45" s="1"/>
      <x:c r="K45" s="1"/>
      <x:c r="L45" s="1"/>
    </x:row>
    <x:row r="46" ht="22" customHeight="1">
      <x:c r="A46" s="1"/>
      <x:c r="B46" s="1"/>
      <x:c r="C46" s="1"/>
      <x:c r="D46" s="4"/>
      <x:c r="E46" s="4"/>
      <x:c r="F46" s="4"/>
      <x:c r="G46" s="4"/>
      <x:c r="H46" s="4"/>
      <x:c r="I46" s="4"/>
      <x:c r="J46" s="1"/>
      <x:c r="K46" s="1"/>
      <x:c r="L46" s="1"/>
    </x:row>
    <x:row r="47" ht="22" customHeight="1">
      <x:c r="A47" s="1"/>
      <x:c r="B47" s="1"/>
      <x:c r="C47" s="1" t="str">
        <x:v>capex Active</x:v>
      </x:c>
      <x:c r="D47" s="4" t="n">
        <x:f>IF($D$3="Bear",D48,IF($D$3="Bull",D50,D49))</x:f>
        <x:v>55</x:v>
      </x:c>
      <x:c r="E47" s="4" t="n">
        <x:f>IF($D$3="Bear",E48,IF($D$3="Bull",E50,E49))</x:f>
        <x:v>30</x:v>
      </x:c>
      <x:c r="F47" s="4" t="n">
        <x:f>IF($D$3="Bear",F48,IF($D$3="Bull",F50,F49))</x:f>
        <x:v>28</x:v>
      </x:c>
      <x:c r="G47" s="4" t="n">
        <x:f>IF($D$3="Bear",G48,IF($D$3="Bull",G50,G49))</x:f>
        <x:v>27</x:v>
      </x:c>
      <x:c r="H47" s="4" t="n">
        <x:f>IF($D$3="Bear",H48,IF($D$3="Bull",H50,H49))</x:f>
        <x:v>28</x:v>
      </x:c>
      <x:c r="I47" s="4" t="n">
        <x:f>IF($D$3="Bear",I48,IF($D$3="Bull",I50,I49))</x:f>
        <x:v>30</x:v>
      </x:c>
      <x:c r="J47" s="1"/>
      <x:c r="K47" s="1"/>
      <x:c r="L47" s="1"/>
    </x:row>
    <x:row r="48" ht="22" customHeight="1">
      <x:c r="A48" s="1"/>
      <x:c r="B48" s="1"/>
      <x:c r="C48" s="1" t="str">
        <x:v>Bear</x:v>
      </x:c>
      <x:c r="D48" s="7" t="n">
        <x:v>60</x:v>
      </x:c>
      <x:c r="E48" s="7" t="n">
        <x:v>40</x:v>
      </x:c>
      <x:c r="F48" s="7" t="n">
        <x:v>35</x:v>
      </x:c>
      <x:c r="G48" s="7" t="n">
        <x:v>30</x:v>
      </x:c>
      <x:c r="H48" s="7" t="n">
        <x:v>30</x:v>
      </x:c>
      <x:c r="I48" s="7" t="n">
        <x:v>30</x:v>
      </x:c>
      <x:c r="J48" s="1"/>
      <x:c r="K48" s="1"/>
      <x:c r="L48" s="1"/>
    </x:row>
    <x:row r="49" ht="22" customHeight="1">
      <x:c r="A49" s="1"/>
      <x:c r="B49" s="1"/>
      <x:c r="C49" s="1" t="str">
        <x:v>Base</x:v>
      </x:c>
      <x:c r="D49" s="7" t="n">
        <x:v>55</x:v>
      </x:c>
      <x:c r="E49" s="7" t="n">
        <x:v>30</x:v>
      </x:c>
      <x:c r="F49" s="7" t="n">
        <x:v>28</x:v>
      </x:c>
      <x:c r="G49" s="7" t="n">
        <x:v>27</x:v>
      </x:c>
      <x:c r="H49" s="7" t="n">
        <x:v>28</x:v>
      </x:c>
      <x:c r="I49" s="7" t="n">
        <x:v>30</x:v>
      </x:c>
      <x:c r="J49" s="1"/>
      <x:c r="K49" s="1"/>
      <x:c r="L49" s="1"/>
    </x:row>
    <x:row r="50" ht="22" customHeight="1">
      <x:c r="A50" s="1"/>
      <x:c r="B50" s="1"/>
      <x:c r="C50" s="1" t="str">
        <x:v>Bull</x:v>
      </x:c>
      <x:c r="D50" s="7" t="n">
        <x:v>60</x:v>
      </x:c>
      <x:c r="E50" s="7" t="n">
        <x:v>38</x:v>
      </x:c>
      <x:c r="F50" s="7" t="n">
        <x:v>35</x:v>
      </x:c>
      <x:c r="G50" s="7" t="n">
        <x:v>33</x:v>
      </x:c>
      <x:c r="H50" s="7" t="n">
        <x:v>34</x:v>
      </x:c>
      <x:c r="I50" s="7" t="n">
        <x:v>36</x:v>
      </x:c>
      <x:c r="J50" s="1"/>
      <x:c r="K50" s="1"/>
      <x:c r="L50" s="1"/>
    </x:row>
    <x:row r="51" ht="22" customHeight="1">
      <x:c r="A51" s="1"/>
      <x:c r="B51" s="1"/>
      <x:c r="C51" s="1"/>
      <x:c r="D51" s="4"/>
      <x:c r="E51" s="4"/>
      <x:c r="F51" s="4"/>
      <x:c r="G51" s="4"/>
      <x:c r="H51" s="4"/>
      <x:c r="I51" s="4"/>
      <x:c r="J51" s="1"/>
      <x:c r="K51" s="1"/>
      <x:c r="L51" s="1"/>
    </x:row>
    <x:row r="52" ht="22" customHeight="1">
      <x:c r="A52" s="1"/>
      <x:c r="B52" s="1"/>
      <x:c r="C52" s="1" t="str">
        <x:v>nwc Active</x:v>
      </x:c>
      <x:c r="D52" s="5" t="n">
        <x:f>IF($D$3="Bear",D53,IF($D$3="Bull",D55,D54))</x:f>
        <x:v>0.325</x:v>
      </x:c>
      <x:c r="E52" s="5" t="n">
        <x:f>IF($D$3="Bear",E53,IF($D$3="Bull",E55,E54))</x:f>
        <x:v>0.315</x:v>
      </x:c>
      <x:c r="F52" s="5" t="n">
        <x:f>IF($D$3="Bear",F53,IF($D$3="Bull",F55,F54))</x:f>
        <x:v>0.305</x:v>
      </x:c>
      <x:c r="G52" s="5" t="n">
        <x:f>IF($D$3="Bear",G53,IF($D$3="Bull",G55,G54))</x:f>
        <x:v>0.3</x:v>
      </x:c>
      <x:c r="H52" s="5" t="n">
        <x:f>IF($D$3="Bear",H53,IF($D$3="Bull",H55,H54))</x:f>
        <x:v>0.295</x:v>
      </x:c>
      <x:c r="I52" s="5" t="n">
        <x:f>IF($D$3="Bear",I53,IF($D$3="Bull",I55,I54))</x:f>
        <x:v>0.29</x:v>
      </x:c>
      <x:c r="J52" s="1"/>
      <x:c r="K52" s="1"/>
      <x:c r="L52" s="1"/>
    </x:row>
    <x:row r="53" ht="22" customHeight="1">
      <x:c r="A53" s="1"/>
      <x:c r="B53" s="1"/>
      <x:c r="C53" s="1" t="str">
        <x:v>Bear</x:v>
      </x:c>
      <x:c r="D53" s="6" t="n">
        <x:v>0.33</x:v>
      </x:c>
      <x:c r="E53" s="6" t="n">
        <x:v>0.33</x:v>
      </x:c>
      <x:c r="F53" s="6" t="n">
        <x:v>0.33</x:v>
      </x:c>
      <x:c r="G53" s="6" t="n">
        <x:v>0.33</x:v>
      </x:c>
      <x:c r="H53" s="6" t="n">
        <x:v>0.33</x:v>
      </x:c>
      <x:c r="I53" s="6" t="n">
        <x:v>0.33</x:v>
      </x:c>
      <x:c r="J53" s="1"/>
      <x:c r="K53" s="1"/>
      <x:c r="L53" s="1"/>
    </x:row>
    <x:row r="54" ht="22" customHeight="1">
      <x:c r="A54" s="1"/>
      <x:c r="B54" s="1"/>
      <x:c r="C54" s="1" t="str">
        <x:v>Base</x:v>
      </x:c>
      <x:c r="D54" s="6" t="n">
        <x:v>0.325</x:v>
      </x:c>
      <x:c r="E54" s="6" t="n">
        <x:v>0.315</x:v>
      </x:c>
      <x:c r="F54" s="6" t="n">
        <x:v>0.305</x:v>
      </x:c>
      <x:c r="G54" s="6" t="n">
        <x:v>0.3</x:v>
      </x:c>
      <x:c r="H54" s="6" t="n">
        <x:v>0.295</x:v>
      </x:c>
      <x:c r="I54" s="6" t="n">
        <x:v>0.29</x:v>
      </x:c>
      <x:c r="J54" s="1"/>
      <x:c r="K54" s="1"/>
      <x:c r="L54" s="1"/>
    </x:row>
    <x:row r="55" ht="22" customHeight="1">
      <x:c r="A55" s="1"/>
      <x:c r="B55" s="1"/>
      <x:c r="C55" s="1" t="str">
        <x:v>Bull</x:v>
      </x:c>
      <x:c r="D55" s="6" t="n">
        <x:v>0.32</x:v>
      </x:c>
      <x:c r="E55" s="6" t="n">
        <x:v>0.305</x:v>
      </x:c>
      <x:c r="F55" s="6" t="n">
        <x:v>0.295</x:v>
      </x:c>
      <x:c r="G55" s="6" t="n">
        <x:v>0.285</x:v>
      </x:c>
      <x:c r="H55" s="6" t="n">
        <x:v>0.28</x:v>
      </x:c>
      <x:c r="I55" s="6" t="n">
        <x:v>0.275</x:v>
      </x:c>
      <x:c r="J55" s="1"/>
      <x:c r="K55" s="1"/>
      <x:c r="L55" s="1"/>
    </x:row>
    <x:row r="56" ht="22" customHeight="1">
      <x:c r="A56" s="1"/>
      <x:c r="B56" s="1"/>
      <x:c r="C56" s="1"/>
      <x:c r="D56" s="4"/>
      <x:c r="E56" s="4"/>
      <x:c r="F56" s="4"/>
      <x:c r="G56" s="4"/>
      <x:c r="H56" s="4"/>
      <x:c r="I56" s="4"/>
      <x:c r="J56" s="1"/>
      <x:c r="K56" s="1"/>
      <x:c r="L56" s="1"/>
    </x:row>
    <x:row r="57" ht="22" customHeight="1">
      <x:c r="A57" s="1"/>
      <x:c r="B57" s="1"/>
      <x:c r="C57" s="1"/>
      <x:c r="D57" s="4"/>
      <x:c r="E57" s="4"/>
      <x:c r="F57" s="4"/>
      <x:c r="G57" s="4"/>
      <x:c r="H57" s="4"/>
      <x:c r="I57" s="4"/>
      <x:c r="J57" s="1"/>
      <x:c r="K57" s="1"/>
      <x:c r="L57" s="1"/>
    </x:row>
    <x:row r="58" ht="22" customHeight="1">
      <x:c r="A58" s="1"/>
      <x:c r="B58" s="1"/>
      <x:c r="C58" s="1"/>
      <x:c r="D58" s="4"/>
      <x:c r="E58" s="4"/>
      <x:c r="F58" s="4"/>
      <x:c r="G58" s="4"/>
      <x:c r="H58" s="4"/>
      <x:c r="I58" s="4"/>
      <x:c r="J58" s="1"/>
      <x:c r="K58" s="1"/>
      <x:c r="L58" s="1"/>
    </x:row>
    <x:row r="59" ht="22" customHeight="1">
      <x:c r="A59" s="1"/>
      <x:c r="B59" s="1"/>
      <x:c r="C59" s="1"/>
      <x:c r="D59" s="4"/>
      <x:c r="E59" s="4"/>
      <x:c r="F59" s="4"/>
      <x:c r="G59" s="4"/>
      <x:c r="H59" s="4"/>
      <x:c r="I59" s="4"/>
      <x:c r="J59" s="1"/>
      <x:c r="K59" s="1"/>
      <x:c r="L59" s="1"/>
    </x:row>
    <x:row r="60" ht="22" customHeight="1">
      <x:c r="A60" s="1"/>
      <x:c r="B60" s="1"/>
      <x:c r="C60" s="1"/>
      <x:c r="D60" s="4"/>
      <x:c r="E60" s="4"/>
      <x:c r="F60" s="4"/>
      <x:c r="G60" s="4"/>
      <x:c r="H60" s="4"/>
      <x:c r="I60" s="4"/>
      <x:c r="J60" s="1"/>
      <x:c r="K60" s="1"/>
      <x:c r="L60" s="1"/>
    </x:row>
    <x:row r="61" ht="22" customHeight="1">
      <x:c r="A61" s="1"/>
      <x:c r="B61" s="1"/>
      <x:c r="C61" s="1"/>
      <x:c r="D61" s="4"/>
      <x:c r="E61" s="4"/>
      <x:c r="F61" s="4"/>
      <x:c r="G61" s="4"/>
      <x:c r="H61" s="4"/>
      <x:c r="I61" s="4"/>
      <x:c r="J61" s="1"/>
      <x:c r="K61" s="1"/>
      <x:c r="L61" s="1"/>
    </x:row>
    <x:row r="62" ht="22" customHeight="1">
      <x:c r="A62" s="1"/>
      <x:c r="B62" s="1"/>
      <x:c r="C62" s="1"/>
      <x:c r="D62" s="4"/>
      <x:c r="E62" s="4"/>
      <x:c r="F62" s="4"/>
      <x:c r="G62" s="4"/>
      <x:c r="H62" s="4"/>
      <x:c r="I62" s="4"/>
      <x:c r="J62" s="1"/>
      <x:c r="K62" s="1"/>
      <x:c r="L62" s="1"/>
    </x:row>
    <x:row r="63" ht="22" customHeight="1">
      <x:c r="A63" s="1"/>
      <x:c r="B63" s="1"/>
      <x:c r="C63" s="1"/>
      <x:c r="D63" s="4"/>
      <x:c r="E63" s="4"/>
      <x:c r="F63" s="4"/>
      <x:c r="G63" s="4"/>
      <x:c r="H63" s="4"/>
      <x:c r="I63" s="4"/>
      <x:c r="J63" s="1"/>
      <x:c r="K63" s="1"/>
      <x:c r="L63" s="1"/>
    </x:row>
    <x:row r="64" ht="22" customHeight="1">
      <x:c r="A64" s="1"/>
      <x:c r="B64" s="1"/>
      <x:c r="C64" s="1"/>
      <x:c r="D64" s="4"/>
      <x:c r="E64" s="4"/>
      <x:c r="F64" s="4"/>
      <x:c r="G64" s="4"/>
      <x:c r="H64" s="4"/>
      <x:c r="I64" s="4"/>
      <x:c r="J64" s="1"/>
      <x:c r="K64" s="1"/>
      <x:c r="L64" s="1"/>
    </x:row>
    <x:row r="65" ht="22" customHeight="1">
      <x:c r="A65" s="1"/>
      <x:c r="B65" s="1"/>
      <x:c r="C65" s="1"/>
      <x:c r="D65" s="4"/>
      <x:c r="E65" s="4"/>
      <x:c r="F65" s="4"/>
      <x:c r="G65" s="4"/>
      <x:c r="H65" s="4"/>
      <x:c r="I65" s="4"/>
      <x:c r="J65" s="1"/>
      <x:c r="K65" s="1"/>
      <x:c r="L65" s="1"/>
    </x:row>
    <x:row r="66" ht="22" customHeight="1">
      <x:c r="A66" s="1"/>
      <x:c r="B66" s="1"/>
      <x:c r="C66" s="1"/>
      <x:c r="D66" s="4"/>
      <x:c r="E66" s="4"/>
      <x:c r="F66" s="4"/>
      <x:c r="G66" s="4"/>
      <x:c r="H66" s="4"/>
      <x:c r="I66" s="4"/>
      <x:c r="J66" s="1"/>
      <x:c r="K66" s="1"/>
      <x:c r="L66" s="1"/>
    </x:row>
    <x:row r="67" ht="22" customHeight="1">
      <x:c r="A67" s="1"/>
      <x:c r="B67" s="1"/>
      <x:c r="C67" s="1"/>
      <x:c r="D67" s="4"/>
      <x:c r="E67" s="4"/>
      <x:c r="F67" s="4"/>
      <x:c r="G67" s="4"/>
      <x:c r="H67" s="4"/>
      <x:c r="I67" s="4"/>
      <x:c r="J67" s="1"/>
      <x:c r="K67" s="1"/>
      <x:c r="L67" s="1"/>
    </x:row>
    <x:row r="68" ht="22" customHeight="1">
      <x:c r="A68" s="1"/>
      <x:c r="B68" s="1"/>
      <x:c r="C68" s="1"/>
      <x:c r="D68" s="4"/>
      <x:c r="E68" s="4"/>
      <x:c r="F68" s="4"/>
      <x:c r="G68" s="4"/>
      <x:c r="H68" s="4"/>
      <x:c r="I68" s="4"/>
      <x:c r="J68" s="1"/>
      <x:c r="K68" s="1"/>
      <x:c r="L68" s="1"/>
    </x:row>
    <x:row r="69" ht="22" customHeight="1">
      <x:c r="A69" s="1"/>
      <x:c r="B69" s="1"/>
      <x:c r="C69" s="1"/>
      <x:c r="D69" s="4"/>
      <x:c r="E69" s="4"/>
      <x:c r="F69" s="4"/>
      <x:c r="G69" s="4"/>
      <x:c r="H69" s="4"/>
      <x:c r="I69" s="4"/>
      <x:c r="J69" s="1"/>
      <x:c r="K69" s="1"/>
      <x:c r="L69" s="1"/>
    </x:row>
    <x:row r="70" ht="22" customHeight="1">
      <x:c r="A70" s="1"/>
      <x:c r="B70" s="1"/>
      <x:c r="C70" s="1"/>
      <x:c r="D70" s="4"/>
      <x:c r="E70" s="4"/>
      <x:c r="F70" s="4"/>
      <x:c r="G70" s="4"/>
      <x:c r="H70" s="4"/>
      <x:c r="I70" s="4"/>
      <x:c r="J70" s="1"/>
      <x:c r="K70" s="1"/>
      <x:c r="L70" s="1"/>
    </x:row>
    <x:row r="71" ht="22" customHeight="1">
      <x:c r="A71" s="1"/>
      <x:c r="B71" s="1"/>
      <x:c r="C71" s="1"/>
      <x:c r="D71" s="4"/>
      <x:c r="E71" s="4"/>
      <x:c r="F71" s="4"/>
      <x:c r="G71" s="4"/>
      <x:c r="H71" s="4"/>
      <x:c r="I71" s="4"/>
      <x:c r="J71" s="1"/>
      <x:c r="K71" s="1"/>
      <x:c r="L71" s="1"/>
    </x:row>
    <x:row r="72" ht="22" customHeight="1">
      <x:c r="A72" s="1"/>
      <x:c r="B72" s="1"/>
      <x:c r="C72" s="1"/>
      <x:c r="D72" s="4"/>
      <x:c r="E72" s="4"/>
      <x:c r="F72" s="4"/>
      <x:c r="G72" s="4"/>
      <x:c r="H72" s="4"/>
      <x:c r="I72" s="4"/>
      <x:c r="J72" s="1"/>
      <x:c r="K72" s="1"/>
      <x:c r="L72" s="1"/>
    </x:row>
    <x:row r="73" ht="22" customHeight="1">
      <x:c r="A73" s="1"/>
      <x:c r="B73" s="1"/>
      <x:c r="C73" s="1"/>
      <x:c r="D73" s="4"/>
      <x:c r="E73" s="4"/>
      <x:c r="F73" s="4"/>
      <x:c r="G73" s="4"/>
      <x:c r="H73" s="4"/>
      <x:c r="I73" s="4"/>
      <x:c r="J73" s="1"/>
      <x:c r="K73" s="1"/>
      <x:c r="L73" s="1"/>
    </x:row>
    <x:row r="74" ht="22" customHeight="1">
      <x:c r="A74" s="1"/>
      <x:c r="B74" s="1"/>
      <x:c r="C74" s="1"/>
      <x:c r="D74" s="4"/>
      <x:c r="E74" s="4"/>
      <x:c r="F74" s="4"/>
      <x:c r="G74" s="4"/>
      <x:c r="H74" s="4"/>
      <x:c r="I74" s="4"/>
      <x:c r="J74" s="1"/>
      <x:c r="K74" s="1"/>
      <x:c r="L74" s="1"/>
    </x:row>
    <x:row r="75" ht="22" customHeight="1">
      <x:c r="A75" s="1"/>
      <x:c r="B75" s="1"/>
      <x:c r="C75" s="1"/>
      <x:c r="D75" s="4"/>
      <x:c r="E75" s="4"/>
      <x:c r="F75" s="4"/>
      <x:c r="G75" s="4"/>
      <x:c r="H75" s="4"/>
      <x:c r="I75" s="4"/>
      <x:c r="J75" s="1"/>
      <x:c r="K75" s="1"/>
      <x:c r="L75" s="1"/>
    </x:row>
    <x:row r="76" ht="22" customHeight="1">
      <x:c r="A76" s="1"/>
      <x:c r="B76" s="1"/>
      <x:c r="C76" s="1"/>
      <x:c r="D76" s="4"/>
      <x:c r="E76" s="4"/>
      <x:c r="F76" s="4"/>
      <x:c r="G76" s="4"/>
      <x:c r="H76" s="4"/>
      <x:c r="I76" s="4"/>
      <x:c r="J76" s="1"/>
      <x:c r="K76" s="1"/>
      <x:c r="L76" s="1"/>
    </x:row>
    <x:row r="77" ht="22" customHeight="1">
      <x:c r="A77" s="1"/>
      <x:c r="B77" s="1"/>
      <x:c r="C77" s="1"/>
      <x:c r="D77" s="4"/>
      <x:c r="E77" s="4"/>
      <x:c r="F77" s="4"/>
      <x:c r="G77" s="4"/>
      <x:c r="H77" s="4"/>
      <x:c r="I77" s="4"/>
      <x:c r="J77" s="1"/>
      <x:c r="K77" s="1"/>
      <x:c r="L77" s="1"/>
    </x:row>
    <x:row r="78" ht="22" customHeight="1">
      <x:c r="A78" s="1"/>
      <x:c r="B78" s="1"/>
      <x:c r="C78" s="1"/>
      <x:c r="D78" s="4"/>
      <x:c r="E78" s="4"/>
      <x:c r="F78" s="4"/>
      <x:c r="G78" s="4"/>
      <x:c r="H78" s="4"/>
      <x:c r="I78" s="4"/>
      <x:c r="J78" s="1"/>
      <x:c r="K78" s="1"/>
      <x:c r="L78" s="1"/>
    </x:row>
    <x:row r="79" ht="22" customHeight="1">
      <x:c r="A79" s="1"/>
      <x:c r="B79" s="1"/>
      <x:c r="C79" s="1"/>
      <x:c r="D79" s="4"/>
      <x:c r="E79" s="4"/>
      <x:c r="F79" s="4"/>
      <x:c r="G79" s="4"/>
      <x:c r="H79" s="4"/>
      <x:c r="I79" s="4"/>
      <x:c r="J79" s="1"/>
      <x:c r="K79" s="1"/>
      <x:c r="L79" s="1"/>
    </x:row>
    <x:row r="80" ht="22" customHeight="1">
      <x:c r="A80" s="1"/>
      <x:c r="B80" s="1"/>
      <x:c r="C80" s="1"/>
      <x:c r="D80" s="4"/>
      <x:c r="E80" s="4"/>
      <x:c r="F80" s="4"/>
      <x:c r="G80" s="4"/>
      <x:c r="H80" s="4"/>
      <x:c r="I80" s="4"/>
      <x:c r="J80" s="1"/>
      <x:c r="K80" s="1"/>
      <x:c r="L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</x:row>
  </x:sheetData>
  <x:dataValidations count="1">
    <x:dataValidation type="list" sqref="D3">
      <x:formula1>"Bear,Base,Bull"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6" hidden="0" customWidth="1"/>
    <x:col min="11" max="11" width="26" hidden="0" customWidth="1"/>
    <x:col min="12" max="12" width="2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Forecast</x:v>
      </x:c>
      <x:c r="D2" s="2"/>
      <x:c r="E2" s="2"/>
      <x:c r="F2" s="2"/>
      <x:c r="G2" s="2"/>
      <x:c r="H2" s="2"/>
      <x:c r="I2" s="2"/>
      <x:c r="J2" s="1"/>
      <x:c r="K2" s="1"/>
      <x:c r="L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 t="str">
        <x:v>Case selected</x:v>
      </x:c>
      <x:c r="D4" s="3" t="str">
        <x:f>Inputs!D3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</x:row>
    <x:row r="7" ht="27" customHeight="1">
      <x:c r="A7" s="1"/>
      <x:c r="B7" s="1"/>
      <x:c r="C7" s="18"/>
      <x:c r="D7" s="18" t="n">
        <x:v>2026</x:v>
      </x:c>
      <x:c r="E7" s="18" t="n">
        <x:v>2027</x:v>
      </x:c>
      <x:c r="F7" s="18" t="n">
        <x:v>2028</x:v>
      </x:c>
      <x:c r="G7" s="18" t="n">
        <x:v>2029</x:v>
      </x:c>
      <x:c r="H7" s="18" t="n">
        <x:v>2030</x:v>
      </x:c>
      <x:c r="I7" s="18" t="n">
        <x:v>2031</x:v>
      </x:c>
      <x:c r="J7" s="1"/>
      <x:c r="K7" s="1"/>
      <x:c r="L7" s="1"/>
    </x:row>
    <x:row r="8" ht="22" customHeight="1">
      <x:c r="A8" s="1"/>
      <x:c r="B8" s="1"/>
      <x:c r="C8" s="1" t="str">
        <x:v>Revenue</x:v>
      </x:c>
      <x:c r="D8" s="9" t="n">
        <x:f>Inputs!$D$18</x:f>
        <x:v>263.2</x:v>
      </x:c>
      <x:c r="E8" s="4" t="n">
        <x:f>D8*(1+E9)</x:f>
        <x:v>284.25600000000003</x:v>
      </x:c>
      <x:c r="F8" s="4" t="n">
        <x:f>E8*(1+F9)</x:f>
        <x:v>306.9964800000001</x:v>
      </x:c>
      <x:c r="G8" s="4" t="n">
        <x:f>F8*(1+G9)</x:f>
        <x:v>328.4862336000001</x:v>
      </x:c>
      <x:c r="H8" s="4" t="n">
        <x:f>G8*(1+H9)</x:f>
        <x:v>348.1954076160001</x:v>
      </x:c>
      <x:c r="I8" s="4" t="n">
        <x:f>H8*(1+I9)</x:f>
        <x:v>365.60517799680014</x:v>
      </x:c>
      <x:c r="J8" s="1"/>
      <x:c r="K8" s="1"/>
      <x:c r="L8" s="1"/>
    </x:row>
    <x:row r="9" ht="22" customHeight="1">
      <x:c r="A9" s="1"/>
      <x:c r="B9" s="1"/>
      <x:c r="C9" s="1" t="str">
        <x:v>Revenue growth</x:v>
      </x:c>
      <x:c r="D9" s="11" t="n">
        <x:f>Inputs!D32</x:f>
        <x:v>0</x:v>
      </x:c>
      <x:c r="E9" s="11" t="n">
        <x:f>Inputs!E32</x:f>
        <x:v>0.08</x:v>
      </x:c>
      <x:c r="F9" s="11" t="n">
        <x:f>Inputs!F32</x:f>
        <x:v>0.08</x:v>
      </x:c>
      <x:c r="G9" s="11" t="n">
        <x:f>Inputs!G32</x:f>
        <x:v>0.07</x:v>
      </x:c>
      <x:c r="H9" s="11" t="n">
        <x:f>Inputs!H32</x:f>
        <x:v>0.06</x:v>
      </x:c>
      <x:c r="I9" s="11" t="n">
        <x:f>Inputs!I32</x:f>
        <x:v>0.05</x:v>
      </x:c>
      <x:c r="J9" s="1"/>
      <x:c r="K9" s="1"/>
      <x:c r="L9" s="1"/>
    </x:row>
    <x:row r="10" ht="22" customHeight="1">
      <x:c r="A10" s="1"/>
      <x:c r="B10" s="1"/>
      <x:c r="C10" s="1" t="str">
        <x:v>Operating margin</x:v>
      </x:c>
      <x:c r="D10" s="11" t="n">
        <x:f>Inputs!D37</x:f>
        <x:v>0.195</x:v>
      </x:c>
      <x:c r="E10" s="11" t="n">
        <x:f>Inputs!E37</x:f>
        <x:v>0.195</x:v>
      </x:c>
      <x:c r="F10" s="11" t="n">
        <x:f>Inputs!F37</x:f>
        <x:v>0.2</x:v>
      </x:c>
      <x:c r="G10" s="11" t="n">
        <x:f>Inputs!G37</x:f>
        <x:v>0.2</x:v>
      </x:c>
      <x:c r="H10" s="11" t="n">
        <x:f>Inputs!H37</x:f>
        <x:v>0.2</x:v>
      </x:c>
      <x:c r="I10" s="11" t="n">
        <x:f>Inputs!I37</x:f>
        <x:v>0.2</x:v>
      </x:c>
      <x:c r="J10" s="1"/>
      <x:c r="K10" s="1"/>
      <x:c r="L10" s="1"/>
    </x:row>
    <x:row r="11" ht="22" customHeight="1">
      <x:c r="A11" s="1"/>
      <x:c r="B11" s="1"/>
      <x:c r="C11" s="1" t="str">
        <x:v>EBIT</x:v>
      </x:c>
      <x:c r="D11" s="4" t="n">
        <x:f>D8*D10</x:f>
        <x:v>51.324</x:v>
      </x:c>
      <x:c r="E11" s="4" t="n">
        <x:f>E8*E10</x:f>
        <x:v>55.42992000000001</x:v>
      </x:c>
      <x:c r="F11" s="4" t="n">
        <x:f>F8*F10</x:f>
        <x:v>61.39929600000002</x:v>
      </x:c>
      <x:c r="G11" s="4" t="n">
        <x:f>G8*G10</x:f>
        <x:v>65.69724672000002</x:v>
      </x:c>
      <x:c r="H11" s="4" t="n">
        <x:f>H8*H10</x:f>
        <x:v>69.63908152320003</x:v>
      </x:c>
      <x:c r="I11" s="4" t="n">
        <x:f>I8*I10</x:f>
        <x:v>73.12103559936003</x:v>
      </x:c>
      <x:c r="J11" s="1"/>
      <x:c r="K11" s="1"/>
      <x:c r="L11" s="1"/>
    </x:row>
    <x:row r="12" ht="22" customHeight="1">
      <x:c r="A12" s="1"/>
      <x:c r="B12" s="1"/>
      <x:c r="C12" s="1" t="str">
        <x:v>Tax rate</x:v>
      </x:c>
      <x:c r="D12" s="11" t="n">
        <x:f>Inputs!$D$19</x:f>
        <x:v>0.24</x:v>
      </x:c>
      <x:c r="E12" s="11" t="n">
        <x:f>Inputs!$D$19</x:f>
        <x:v>0.24</x:v>
      </x:c>
      <x:c r="F12" s="11" t="n">
        <x:f>Inputs!$D$19</x:f>
        <x:v>0.24</x:v>
      </x:c>
      <x:c r="G12" s="11" t="n">
        <x:f>Inputs!$D$19</x:f>
        <x:v>0.24</x:v>
      </x:c>
      <x:c r="H12" s="11" t="n">
        <x:f>Inputs!$D$19</x:f>
        <x:v>0.24</x:v>
      </x:c>
      <x:c r="I12" s="11" t="n">
        <x:f>Inputs!$D$19</x:f>
        <x:v>0.24</x:v>
      </x:c>
      <x:c r="J12" s="1"/>
      <x:c r="K12" s="1"/>
      <x:c r="L12" s="1"/>
    </x:row>
    <x:row r="13" ht="22" customHeight="1">
      <x:c r="A13" s="1"/>
      <x:c r="B13" s="1"/>
      <x:c r="C13" s="1" t="str">
        <x:v>NOPAT</x:v>
      </x:c>
      <x:c r="D13" s="4" t="n">
        <x:f>D11*(1-D12)</x:f>
        <x:v>39.00624</x:v>
      </x:c>
      <x:c r="E13" s="4" t="n">
        <x:f>E11*(1-E12)</x:f>
        <x:v>42.12673920000001</x:v>
      </x:c>
      <x:c r="F13" s="4" t="n">
        <x:f>F11*(1-F12)</x:f>
        <x:v>46.66346496000001</x:v>
      </x:c>
      <x:c r="G13" s="4" t="n">
        <x:f>G11*(1-G12)</x:f>
        <x:v>49.92990750720002</x:v>
      </x:c>
      <x:c r="H13" s="4" t="n">
        <x:f>H11*(1-H12)</x:f>
        <x:v>52.92570195763203</x:v>
      </x:c>
      <x:c r="I13" s="4" t="n">
        <x:f>I11*(1-I12)</x:f>
        <x:v>55.571987055513624</x:v>
      </x:c>
      <x:c r="J13" s="1"/>
      <x:c r="K13" s="1"/>
      <x:c r="L13" s="1"/>
    </x:row>
    <x:row r="14" ht="22" customHeight="1">
      <x:c r="A14" s="1"/>
      <x:c r="B14" s="1"/>
      <x:c r="C14" s="1" t="str">
        <x:v>D&amp;A</x:v>
      </x:c>
      <x:c r="D14" s="9" t="n">
        <x:f>Inputs!D42</x:f>
        <x:v>17</x:v>
      </x:c>
      <x:c r="E14" s="9" t="n">
        <x:f>Inputs!E42</x:f>
        <x:v>19</x:v>
      </x:c>
      <x:c r="F14" s="9" t="n">
        <x:f>Inputs!F42</x:f>
        <x:v>21</x:v>
      </x:c>
      <x:c r="G14" s="9" t="n">
        <x:f>Inputs!G42</x:f>
        <x:v>23</x:v>
      </x:c>
      <x:c r="H14" s="9" t="n">
        <x:f>Inputs!H42</x:f>
        <x:v>25</x:v>
      </x:c>
      <x:c r="I14" s="9" t="n">
        <x:f>Inputs!I42</x:f>
        <x:v>27</x:v>
      </x:c>
      <x:c r="J14" s="1"/>
      <x:c r="K14" s="1"/>
      <x:c r="L14" s="1"/>
    </x:row>
    <x:row r="15" ht="22" customHeight="1">
      <x:c r="A15" s="1"/>
      <x:c r="B15" s="1"/>
      <x:c r="C15" s="1" t="str">
        <x:v>CAPEX</x:v>
      </x:c>
      <x:c r="D15" s="9" t="n">
        <x:f>Inputs!D47</x:f>
        <x:v>55</x:v>
      </x:c>
      <x:c r="E15" s="9" t="n">
        <x:f>Inputs!E47</x:f>
        <x:v>30</x:v>
      </x:c>
      <x:c r="F15" s="9" t="n">
        <x:f>Inputs!F47</x:f>
        <x:v>28</x:v>
      </x:c>
      <x:c r="G15" s="9" t="n">
        <x:f>Inputs!G47</x:f>
        <x:v>27</x:v>
      </x:c>
      <x:c r="H15" s="9" t="n">
        <x:f>Inputs!H47</x:f>
        <x:v>28</x:v>
      </x:c>
      <x:c r="I15" s="9" t="n">
        <x:f>Inputs!I47</x:f>
        <x:v>30</x:v>
      </x:c>
      <x:c r="J15" s="1"/>
      <x:c r="K15" s="1"/>
      <x:c r="L15" s="1"/>
    </x:row>
    <x:row r="16" ht="22" customHeight="1">
      <x:c r="A16" s="1"/>
      <x:c r="B16" s="1"/>
      <x:c r="C16" s="1" t="str">
        <x:v>NWC / annual sales</x:v>
      </x:c>
      <x:c r="D16" s="11" t="n">
        <x:f>Inputs!D52</x:f>
        <x:v>0.325</x:v>
      </x:c>
      <x:c r="E16" s="11" t="n">
        <x:f>Inputs!E52</x:f>
        <x:v>0.315</x:v>
      </x:c>
      <x:c r="F16" s="11" t="n">
        <x:f>Inputs!F52</x:f>
        <x:v>0.305</x:v>
      </x:c>
      <x:c r="G16" s="11" t="n">
        <x:f>Inputs!G52</x:f>
        <x:v>0.3</x:v>
      </x:c>
      <x:c r="H16" s="11" t="n">
        <x:f>Inputs!H52</x:f>
        <x:v>0.295</x:v>
      </x:c>
      <x:c r="I16" s="11" t="n">
        <x:f>Inputs!I52</x:f>
        <x:v>0.29</x:v>
      </x:c>
      <x:c r="J16" s="1"/>
      <x:c r="K16" s="1"/>
      <x:c r="L16" s="1"/>
    </x:row>
    <x:row r="17" ht="22" customHeight="1">
      <x:c r="A17" s="1"/>
      <x:c r="B17" s="1"/>
      <x:c r="C17" s="1" t="str">
        <x:v>Operating NWC</x:v>
      </x:c>
      <x:c r="D17" s="4" t="n">
        <x:f>D8*D16</x:f>
        <x:v>85.54</x:v>
      </x:c>
      <x:c r="E17" s="4" t="n">
        <x:f>E8*E16</x:f>
        <x:v>89.54064000000001</x:v>
      </x:c>
      <x:c r="F17" s="4" t="n">
        <x:f>F8*F16</x:f>
        <x:v>93.63392640000002</x:v>
      </x:c>
      <x:c r="G17" s="4" t="n">
        <x:f>G8*G16</x:f>
        <x:v>98.54587008000003</x:v>
      </x:c>
      <x:c r="H17" s="4" t="n">
        <x:f>H8*H16</x:f>
        <x:v>102.71764524672002</x:v>
      </x:c>
      <x:c r="I17" s="4" t="n">
        <x:f>I8*I16</x:f>
        <x:v>106.02550161907203</x:v>
      </x:c>
      <x:c r="J17" s="1"/>
      <x:c r="K17" s="1"/>
      <x:c r="L17" s="1"/>
    </x:row>
    <x:row r="18" ht="22" customHeight="1">
      <x:c r="A18" s="1"/>
      <x:c r="B18" s="1"/>
      <x:c r="C18" s="1" t="str">
        <x:v>Change in NWC</x:v>
      </x:c>
      <x:c r="D18" s="4"/>
      <x:c r="E18" s="4" t="n">
        <x:f>E17-D17</x:f>
        <x:v>4.000640000000004</x:v>
      </x:c>
      <x:c r="F18" s="4" t="n">
        <x:f>F17-E17</x:f>
        <x:v>4.093286400000011</x:v>
      </x:c>
      <x:c r="G18" s="4" t="n">
        <x:f>G17-F17</x:f>
        <x:v>4.911943680000007</x:v>
      </x:c>
      <x:c r="H18" s="4" t="n">
        <x:f>H17-G17</x:f>
        <x:v>4.171775166719996</x:v>
      </x:c>
      <x:c r="I18" s="4" t="n">
        <x:f>I17-H17</x:f>
        <x:v>3.3078563723520062</x:v>
      </x:c>
      <x:c r="J18" s="1"/>
      <x:c r="K18" s="1"/>
      <x:c r="L18" s="1"/>
    </x:row>
    <x:row r="19" ht="22" customHeight="1">
      <x:c r="A19" s="1"/>
      <x:c r="B19" s="1"/>
      <x:c r="C19" s="1" t="str">
        <x:v>FCFF</x:v>
      </x:c>
      <x:c r="D19" s="4"/>
      <x:c r="E19" s="4" t="n">
        <x:f>E13+E14-E15-E18</x:f>
        <x:v>27.126099200000006</x:v>
      </x:c>
      <x:c r="F19" s="4" t="n">
        <x:f>F13+F14-F15-F18</x:f>
        <x:v>35.57017856</x:v>
      </x:c>
      <x:c r="G19" s="4" t="n">
        <x:f>G13+G14-G15-G18</x:f>
        <x:v>41.01796382720002</x:v>
      </x:c>
      <x:c r="H19" s="4" t="n">
        <x:f>H13+H14-H15-H18</x:f>
        <x:v>45.75392679091203</x:v>
      </x:c>
      <x:c r="I19" s="4" t="n">
        <x:f>I13+I14-I15-I18</x:f>
        <x:v>49.264130683161625</x:v>
      </x:c>
      <x:c r="J19" s="1"/>
      <x:c r="K19" s="1"/>
      <x:c r="L19" s="1"/>
    </x:row>
    <x:row r="20" ht="22" customHeight="1">
      <x:c r="A20" s="1"/>
      <x:c r="B20" s="1"/>
      <x:c r="C20" s="1" t="str">
        <x:v>Cash return</x:v>
      </x:c>
      <x:c r="D20" s="9" t="n">
        <x:f>'Cash Equity Bridge'!D16</x:f>
        <x:v>0.7870648732875001</x:v>
      </x:c>
      <x:c r="E20" s="9" t="n">
        <x:f>D26*Inputs!$D$20</x:f>
        <x:v>1.6024717795671877</x:v>
      </x:c>
      <x:c r="F20" s="9" t="n">
        <x:f>E26*Inputs!$D$20</x:f>
        <x:v>2.047378485434072</x:v>
      </x:c>
      <x:c r="G20" s="9" t="n">
        <x:f>F26*Inputs!$D$20</x:f>
        <x:v>2.683374640035961</x:v>
      </x:c>
      <x:c r="H20" s="9" t="n">
        <x:f>G26*Inputs!$D$20</x:f>
        <x:v>3.4470750882966357</x:v>
      </x:c>
      <x:c r="I20" s="9" t="n">
        <x:f>H26*Inputs!$D$20</x:f>
        <x:v>4.324770278739798</x:v>
      </x:c>
      <x:c r="J20" s="1"/>
      <x:c r="K20" s="1"/>
      <x:c r="L20" s="1"/>
    </x:row>
    <x:row r="21" ht="22" customHeight="1">
      <x:c r="A21" s="1"/>
      <x:c r="B21" s="1"/>
      <x:c r="C21" s="1" t="str">
        <x:v>Parent net income</x:v>
      </x:c>
      <x:c r="D21" s="9" t="n">
        <x:f>'Actuals Sources'!$D$11+'Cash Equity Bridge'!D17</x:f>
        <x:v>47.482520173687504</x:v>
      </x:c>
      <x:c r="E21" s="4" t="n">
        <x:f>E13*E27+E20</x:f>
        <x:v>43.7292109795672</x:v>
      </x:c>
      <x:c r="F21" s="4" t="n">
        <x:f>F13*F27+F20</x:f>
        <x:v>48.71084344543409</x:v>
      </x:c>
      <x:c r="G21" s="4" t="n">
        <x:f>G13*G27+G20</x:f>
        <x:v>52.61328214723598</x:v>
      </x:c>
      <x:c r="H21" s="4" t="n">
        <x:f>H13*H27+H20</x:f>
        <x:v>56.372777045928665</x:v>
      </x:c>
      <x:c r="I21" s="4" t="n">
        <x:f>I13*I27+I20</x:f>
        <x:v>59.89675733425342</x:v>
      </x:c>
      <x:c r="J21" s="1"/>
      <x:c r="K21" s="1"/>
      <x:c r="L21" s="1"/>
    </x:row>
    <x:row r="22" ht="22" customHeight="1">
      <x:c r="A22" s="1"/>
      <x:c r="B22" s="1"/>
      <x:c r="C22" s="1" t="str">
        <x:v>EPS KRW</x:v>
      </x:c>
      <x:c r="D22" s="9" t="n">
        <x:f>D21*1000/'Cash Equity Bridge'!$D$23</x:f>
        <x:v>2252.9456922618415</x:v>
      </x:c>
      <x:c r="E22" s="9" t="n">
        <x:f>E21*1000/'Cash Equity Bridge'!$D$23</x:f>
        <x:v>2074.859066916584</x:v>
      </x:c>
      <x:c r="F22" s="9" t="n">
        <x:f>F21*1000/'Cash Equity Bridge'!$D$23</x:f>
        <x:v>2311.227047456631</x:v>
      </x:c>
      <x:c r="G22" s="9" t="n">
        <x:f>G21*1000/'Cash Equity Bridge'!$D$23</x:f>
        <x:v>2496.3895542144874</x:v>
      </x:c>
      <x:c r="H22" s="9" t="n">
        <x:f>H21*1000/'Cash Equity Bridge'!$D$23</x:f>
        <x:v>2674.7696782287067</x:v>
      </x:c>
      <x:c r="I22" s="9" t="n">
        <x:f>I21*1000/'Cash Equity Bridge'!$D$23</x:f>
        <x:v>2841.9751294380235</x:v>
      </x:c>
      <x:c r="J22" s="1"/>
      <x:c r="K22" s="1"/>
      <x:c r="L22" s="1"/>
    </x:row>
    <x:row r="23" ht="22" customHeight="1">
      <x:c r="A23" s="1"/>
      <x:c r="B23" s="1"/>
      <x:c r="C23" s="1" t="str">
        <x:v>Beginning parent book</x:v>
      </x:c>
      <x:c r="D23" s="4"/>
      <x:c r="E23" s="4" t="n">
        <x:f>D25</x:f>
        <x:v>353.2545385026875</x:v>
      </x:c>
      <x:c r="F23" s="4" t="n">
        <x:f>E25</x:f>
        <x:v>386.05144673736294</x:v>
      </x:c>
      <x:c r="G23" s="4" t="n">
        <x:f>F25</x:f>
        <x:v>422.58457932143847</x:v>
      </x:c>
      <x:c r="H23" s="4" t="n">
        <x:f>G25</x:f>
        <x:v>462.0445409318654</x:v>
      </x:c>
      <x:c r="I23" s="4" t="n">
        <x:f>H25</x:f>
        <x:v>504.3241237163119</x:v>
      </x:c>
      <x:c r="J23" s="1"/>
      <x:c r="K23" s="1"/>
      <x:c r="L23" s="1"/>
    </x:row>
    <x:row r="24" ht="22" customHeight="1">
      <x:c r="A24" s="1"/>
      <x:c r="B24" s="1"/>
      <x:c r="C24" s="1" t="str">
        <x:v>Dividends</x:v>
      </x:c>
      <x:c r="D24" s="9" t="n">
        <x:f>Inputs!$D$21</x:f>
        <x:v>3</x:v>
      </x:c>
      <x:c r="E24" s="9" t="n">
        <x:f>E21*Inputs!$D$14</x:f>
        <x:v>10.9323027448918</x:v>
      </x:c>
      <x:c r="F24" s="9" t="n">
        <x:f>F21*Inputs!$D$14</x:f>
        <x:v>12.177710861358522</x:v>
      </x:c>
      <x:c r="G24" s="9" t="n">
        <x:f>G21*Inputs!$D$14</x:f>
        <x:v>13.153320536808994</x:v>
      </x:c>
      <x:c r="H24" s="9" t="n">
        <x:f>H21*Inputs!$D$14</x:f>
        <x:v>14.093194261482166</x:v>
      </x:c>
      <x:c r="I24" s="9" t="n">
        <x:f>I21*Inputs!$D$14</x:f>
        <x:v>14.974189333563356</x:v>
      </x:c>
      <x:c r="J24" s="1"/>
      <x:c r="K24" s="1"/>
      <x:c r="L24" s="1"/>
    </x:row>
    <x:row r="25" ht="22" customHeight="1">
      <x:c r="A25" s="1"/>
      <x:c r="B25" s="1"/>
      <x:c r="C25" s="1" t="str">
        <x:v>Ending parent book</x:v>
      </x:c>
      <x:c r="D25" s="9" t="n">
        <x:f>'Cash Equity Bridge'!D22</x:f>
        <x:v>353.2545385026875</x:v>
      </x:c>
      <x:c r="E25" s="4" t="n">
        <x:f>E23+E21-E24</x:f>
        <x:v>386.05144673736294</x:v>
      </x:c>
      <x:c r="F25" s="4" t="n">
        <x:f>F23+F21-F24</x:f>
        <x:v>422.58457932143847</x:v>
      </x:c>
      <x:c r="G25" s="4" t="n">
        <x:f>G23+G21-G24</x:f>
        <x:v>462.0445409318654</x:v>
      </x:c>
      <x:c r="H25" s="4" t="n">
        <x:f>H23+H21-H24</x:f>
        <x:v>504.3241237163119</x:v>
      </x:c>
      <x:c r="I25" s="4" t="n">
        <x:f>I23+I21-I24</x:f>
        <x:v>549.2466917170019</x:v>
      </x:c>
      <x:c r="J25" s="1"/>
      <x:c r="K25" s="1"/>
      <x:c r="L25" s="1"/>
    </x:row>
    <x:row r="26" ht="22" customHeight="1">
      <x:c r="A26" s="1"/>
      <x:c r="B26" s="1"/>
      <x:c r="C26" s="1" t="str">
        <x:v>Ending net cash</x:v>
      </x:c>
      <x:c r="D26" s="9" t="n">
        <x:f>'Cash Equity Bridge'!D21</x:f>
        <x:v>64.0988711826875</x:v>
      </x:c>
      <x:c r="E26" s="4" t="n">
        <x:f>D26+E19+E20-E24</x:f>
        <x:v>81.89513941736288</x:v>
      </x:c>
      <x:c r="F26" s="4" t="n">
        <x:f>E26+F19+F20-F24</x:f>
        <x:v>107.33498560143843</x:v>
      </x:c>
      <x:c r="G26" s="4" t="n">
        <x:f>F26+G19+G20-G24</x:f>
        <x:v>137.88300353186543</x:v>
      </x:c>
      <x:c r="H26" s="4" t="n">
        <x:f>G26+H19+H20-H24</x:f>
        <x:v>172.99081114959193</x:v>
      </x:c>
      <x:c r="I26" s="4" t="n">
        <x:f>H26+I19+I20-I24</x:f>
        <x:v>211.60552277793002</x:v>
      </x:c>
      <x:c r="J26" s="1"/>
      <x:c r="K26" s="1"/>
      <x:c r="L26" s="1"/>
    </x:row>
    <x:row r="27" ht="22" customHeight="1">
      <x:c r="A27" s="1"/>
      <x:c r="B27" s="1"/>
      <x:c r="C27" s="1" t="str">
        <x:v>Parent allocation factor</x:v>
      </x:c>
      <x:c r="D27" s="11" t="n">
        <x:f>'Actuals Sources'!D25</x:f>
        <x:v>1</x:v>
      </x:c>
      <x:c r="E27" s="11" t="n">
        <x:f>'Actuals Sources'!D25</x:f>
        <x:v>1</x:v>
      </x:c>
      <x:c r="F27" s="11" t="n">
        <x:f>'Actuals Sources'!D25</x:f>
        <x:v>1</x:v>
      </x:c>
      <x:c r="G27" s="11" t="n">
        <x:f>'Actuals Sources'!D25</x:f>
        <x:v>1</x:v>
      </x:c>
      <x:c r="H27" s="11" t="n">
        <x:f>'Actuals Sources'!D25</x:f>
        <x:v>1</x:v>
      </x:c>
      <x:c r="I27" s="11" t="n">
        <x:f>'Actuals Sources'!D25</x:f>
        <x:v>1</x:v>
      </x:c>
      <x:c r="J27" s="1"/>
      <x:c r="K27" s="1"/>
      <x:c r="L27" s="1"/>
    </x:row>
    <x:row r="28" ht="22" customHeight="1">
      <x:c r="A28" s="1"/>
      <x:c r="B28" s="1"/>
      <x:c r="C28" s="1"/>
      <x:c r="D28" s="4"/>
      <x:c r="E28" s="4"/>
      <x:c r="F28" s="4"/>
      <x:c r="G28" s="4"/>
      <x:c r="H28" s="4"/>
      <x:c r="I28" s="4"/>
      <x:c r="J28" s="1"/>
      <x:c r="K28" s="1"/>
      <x:c r="L28" s="1"/>
    </x:row>
    <x:row r="29" ht="22" customHeight="1">
      <x:c r="A29" s="1"/>
      <x:c r="B29" s="1"/>
      <x:c r="C29" s="1"/>
      <x:c r="D29" s="4"/>
      <x:c r="E29" s="4"/>
      <x:c r="F29" s="4"/>
      <x:c r="G29" s="4"/>
      <x:c r="H29" s="4"/>
      <x:c r="I29" s="4"/>
      <x:c r="J29" s="1"/>
      <x:c r="K29" s="1"/>
      <x:c r="L29" s="1"/>
    </x:row>
    <x:row r="30" ht="22" customHeight="1">
      <x:c r="A30" s="1"/>
      <x:c r="B30" s="1"/>
      <x:c r="C30" s="1"/>
      <x:c r="D30" s="4"/>
      <x:c r="E30" s="4"/>
      <x:c r="F30" s="4"/>
      <x:c r="G30" s="4"/>
      <x:c r="H30" s="4"/>
      <x:c r="I30" s="4"/>
      <x:c r="J30" s="1"/>
      <x:c r="K30" s="1"/>
      <x:c r="L30" s="1"/>
    </x:row>
    <x:row r="31" ht="22" customHeight="1">
      <x:c r="A31" s="1"/>
      <x:c r="B31" s="1"/>
      <x:c r="C31" s="1"/>
      <x:c r="D31" s="4"/>
      <x:c r="E31" s="4"/>
      <x:c r="F31" s="4"/>
      <x:c r="G31" s="4"/>
      <x:c r="H31" s="4"/>
      <x:c r="I31" s="4"/>
      <x:c r="J31" s="1"/>
      <x:c r="K31" s="1"/>
      <x:c r="L31" s="1"/>
    </x:row>
    <x:row r="32" ht="22" customHeight="1">
      <x:c r="A32" s="1"/>
      <x:c r="B32" s="1"/>
      <x:c r="C32" s="1"/>
      <x:c r="D32" s="4"/>
      <x:c r="E32" s="4"/>
      <x:c r="F32" s="4"/>
      <x:c r="G32" s="4"/>
      <x:c r="H32" s="4"/>
      <x:c r="I32" s="4"/>
      <x:c r="J32" s="1"/>
      <x:c r="K32" s="1"/>
      <x:c r="L32" s="1"/>
    </x:row>
    <x:row r="33" ht="22" customHeight="1">
      <x:c r="A33" s="1"/>
      <x:c r="B33" s="1"/>
      <x:c r="C33" s="1"/>
      <x:c r="D33" s="4"/>
      <x:c r="E33" s="4"/>
      <x:c r="F33" s="4"/>
      <x:c r="G33" s="4"/>
      <x:c r="H33" s="4"/>
      <x:c r="I33" s="4"/>
      <x:c r="J33" s="1"/>
      <x:c r="K33" s="1"/>
      <x:c r="L33" s="1"/>
    </x:row>
    <x:row r="34" ht="22" customHeight="1">
      <x:c r="A34" s="1"/>
      <x:c r="B34" s="1"/>
      <x:c r="C34" s="1"/>
      <x:c r="D34" s="4"/>
      <x:c r="E34" s="4"/>
      <x:c r="F34" s="4"/>
      <x:c r="G34" s="4"/>
      <x:c r="H34" s="4"/>
      <x:c r="I34" s="4"/>
      <x:c r="J34" s="1"/>
      <x:c r="K34" s="1"/>
      <x:c r="L34" s="1"/>
    </x:row>
    <x:row r="35" ht="22" customHeight="1">
      <x:c r="A35" s="1"/>
      <x:c r="B35" s="1"/>
      <x:c r="C35" s="1"/>
      <x:c r="D35" s="4"/>
      <x:c r="E35" s="4"/>
      <x:c r="F35" s="4"/>
      <x:c r="G35" s="4"/>
      <x:c r="H35" s="4"/>
      <x:c r="I35" s="4"/>
      <x:c r="J35" s="1"/>
      <x:c r="K35" s="1"/>
      <x:c r="L35" s="1"/>
    </x:row>
    <x:row r="36" ht="22" customHeight="1">
      <x:c r="A36" s="1"/>
      <x:c r="B36" s="1"/>
      <x:c r="C36" s="1"/>
      <x:c r="D36" s="4"/>
      <x:c r="E36" s="4"/>
      <x:c r="F36" s="4"/>
      <x:c r="G36" s="4"/>
      <x:c r="H36" s="4"/>
      <x:c r="I36" s="4"/>
      <x:c r="J36" s="1"/>
      <x:c r="K36" s="1"/>
      <x:c r="L36" s="1"/>
    </x:row>
    <x:row r="37" ht="22" customHeight="1">
      <x:c r="A37" s="1"/>
      <x:c r="B37" s="1"/>
      <x:c r="C37" s="1"/>
      <x:c r="D37" s="4"/>
      <x:c r="E37" s="4"/>
      <x:c r="F37" s="4"/>
      <x:c r="G37" s="4"/>
      <x:c r="H37" s="4"/>
      <x:c r="I37" s="4"/>
      <x:c r="J37" s="1"/>
      <x:c r="K37" s="1"/>
      <x:c r="L37" s="1"/>
    </x:row>
    <x:row r="38" ht="22" customHeight="1">
      <x:c r="A38" s="1"/>
      <x:c r="B38" s="1"/>
      <x:c r="C38" s="1"/>
      <x:c r="D38" s="4"/>
      <x:c r="E38" s="4"/>
      <x:c r="F38" s="4"/>
      <x:c r="G38" s="4"/>
      <x:c r="H38" s="4"/>
      <x:c r="I38" s="4"/>
      <x:c r="J38" s="1"/>
      <x:c r="K38" s="1"/>
      <x:c r="L38" s="1"/>
    </x:row>
    <x:row r="39" ht="22" customHeight="1">
      <x:c r="A39" s="1"/>
      <x:c r="B39" s="1"/>
      <x:c r="C39" s="1"/>
      <x:c r="D39" s="4"/>
      <x:c r="E39" s="4"/>
      <x:c r="F39" s="4"/>
      <x:c r="G39" s="4"/>
      <x:c r="H39" s="4"/>
      <x:c r="I39" s="4"/>
      <x:c r="J39" s="1"/>
      <x:c r="K39" s="1"/>
      <x:c r="L39" s="1"/>
    </x:row>
    <x:row r="40" ht="22" customHeight="1">
      <x:c r="A40" s="1"/>
      <x:c r="B40" s="1"/>
      <x:c r="C40" s="1"/>
      <x:c r="D40" s="4"/>
      <x:c r="E40" s="4"/>
      <x:c r="F40" s="4"/>
      <x:c r="G40" s="4"/>
      <x:c r="H40" s="4"/>
      <x:c r="I40" s="4"/>
      <x:c r="J40" s="1"/>
      <x:c r="K40" s="1"/>
      <x:c r="L40" s="1"/>
    </x:row>
    <x:row r="41" ht="22" customHeight="1">
      <x:c r="A41" s="1"/>
      <x:c r="B41" s="1"/>
      <x:c r="C41" s="1"/>
      <x:c r="D41" s="4"/>
      <x:c r="E41" s="4"/>
      <x:c r="F41" s="4"/>
      <x:c r="G41" s="4"/>
      <x:c r="H41" s="4"/>
      <x:c r="I41" s="4"/>
      <x:c r="J41" s="1"/>
      <x:c r="K41" s="1"/>
      <x:c r="L41" s="1"/>
    </x:row>
    <x:row r="42" ht="22" customHeight="1">
      <x:c r="A42" s="1"/>
      <x:c r="B42" s="1"/>
      <x:c r="C42" s="1"/>
      <x:c r="D42" s="4"/>
      <x:c r="E42" s="4"/>
      <x:c r="F42" s="4"/>
      <x:c r="G42" s="4"/>
      <x:c r="H42" s="4"/>
      <x:c r="I42" s="4"/>
      <x:c r="J42" s="1"/>
      <x:c r="K42" s="1"/>
      <x:c r="L42" s="1"/>
    </x:row>
    <x:row r="43" ht="22" customHeight="1">
      <x:c r="A43" s="1"/>
      <x:c r="B43" s="1"/>
      <x:c r="C43" s="1"/>
      <x:c r="D43" s="4"/>
      <x:c r="E43" s="4"/>
      <x:c r="F43" s="4"/>
      <x:c r="G43" s="4"/>
      <x:c r="H43" s="4"/>
      <x:c r="I43" s="4"/>
      <x:c r="J43" s="1"/>
      <x:c r="K43" s="1"/>
      <x:c r="L43" s="1"/>
    </x:row>
    <x:row r="44" ht="22" customHeight="1">
      <x:c r="A44" s="1"/>
      <x:c r="B44" s="1"/>
      <x:c r="C44" s="1"/>
      <x:c r="D44" s="4"/>
      <x:c r="E44" s="4"/>
      <x:c r="F44" s="4"/>
      <x:c r="G44" s="4"/>
      <x:c r="H44" s="4"/>
      <x:c r="I44" s="4"/>
      <x:c r="J44" s="1"/>
      <x:c r="K44" s="1"/>
      <x:c r="L44" s="1"/>
    </x:row>
    <x:row r="45" ht="22" customHeight="1">
      <x:c r="A45" s="1"/>
      <x:c r="B45" s="1"/>
      <x:c r="C45" s="1"/>
      <x:c r="D45" s="4"/>
      <x:c r="E45" s="4"/>
      <x:c r="F45" s="4"/>
      <x:c r="G45" s="4"/>
      <x:c r="H45" s="4"/>
      <x:c r="I45" s="4"/>
      <x:c r="J45" s="1"/>
      <x:c r="K45" s="1"/>
      <x:c r="L45" s="1"/>
    </x:row>
    <x:row r="46" ht="22" customHeight="1">
      <x:c r="A46" s="1"/>
      <x:c r="B46" s="1"/>
      <x:c r="C46" s="1"/>
      <x:c r="D46" s="4"/>
      <x:c r="E46" s="4"/>
      <x:c r="F46" s="4"/>
      <x:c r="G46" s="4"/>
      <x:c r="H46" s="4"/>
      <x:c r="I46" s="4"/>
      <x:c r="J46" s="1"/>
      <x:c r="K46" s="1"/>
      <x:c r="L46" s="1"/>
    </x:row>
    <x:row r="47" ht="22" customHeight="1">
      <x:c r="A47" s="1"/>
      <x:c r="B47" s="1"/>
      <x:c r="C47" s="1"/>
      <x:c r="D47" s="4"/>
      <x:c r="E47" s="4"/>
      <x:c r="F47" s="4"/>
      <x:c r="G47" s="4"/>
      <x:c r="H47" s="4"/>
      <x:c r="I47" s="4"/>
      <x:c r="J47" s="1"/>
      <x:c r="K47" s="1"/>
      <x:c r="L47" s="1"/>
    </x:row>
    <x:row r="48" ht="22" customHeight="1">
      <x:c r="A48" s="1"/>
      <x:c r="B48" s="1"/>
      <x:c r="C48" s="1"/>
      <x:c r="D48" s="4"/>
      <x:c r="E48" s="4"/>
      <x:c r="F48" s="4"/>
      <x:c r="G48" s="4"/>
      <x:c r="H48" s="4"/>
      <x:c r="I48" s="4"/>
      <x:c r="J48" s="1"/>
      <x:c r="K48" s="1"/>
      <x:c r="L48" s="1"/>
    </x:row>
    <x:row r="49" ht="22" customHeight="1">
      <x:c r="A49" s="1"/>
      <x:c r="B49" s="1"/>
      <x:c r="C49" s="1"/>
      <x:c r="D49" s="4"/>
      <x:c r="E49" s="4"/>
      <x:c r="F49" s="4"/>
      <x:c r="G49" s="4"/>
      <x:c r="H49" s="4"/>
      <x:c r="I49" s="4"/>
      <x:c r="J49" s="1"/>
      <x:c r="K49" s="1"/>
      <x:c r="L49" s="1"/>
    </x:row>
    <x:row r="50" ht="22" customHeight="1">
      <x:c r="A50" s="1"/>
      <x:c r="B50" s="1"/>
      <x:c r="C50" s="1"/>
      <x:c r="D50" s="4"/>
      <x:c r="E50" s="4"/>
      <x:c r="F50" s="4"/>
      <x:c r="G50" s="4"/>
      <x:c r="H50" s="4"/>
      <x:c r="I50" s="4"/>
      <x:c r="J50" s="1"/>
      <x:c r="K50" s="1"/>
      <x:c r="L50" s="1"/>
    </x:row>
    <x:row r="51" ht="22" customHeight="1">
      <x:c r="A51" s="1"/>
      <x:c r="B51" s="1"/>
      <x:c r="C51" s="1"/>
      <x:c r="D51" s="4"/>
      <x:c r="E51" s="4"/>
      <x:c r="F51" s="4"/>
      <x:c r="G51" s="4"/>
      <x:c r="H51" s="4"/>
      <x:c r="I51" s="4"/>
      <x:c r="J51" s="1"/>
      <x:c r="K51" s="1"/>
      <x:c r="L51" s="1"/>
    </x:row>
    <x:row r="52" ht="22" customHeight="1">
      <x:c r="A52" s="1"/>
      <x:c r="B52" s="1"/>
      <x:c r="C52" s="1"/>
      <x:c r="D52" s="4"/>
      <x:c r="E52" s="4"/>
      <x:c r="F52" s="4"/>
      <x:c r="G52" s="4"/>
      <x:c r="H52" s="4"/>
      <x:c r="I52" s="4"/>
      <x:c r="J52" s="1"/>
      <x:c r="K52" s="1"/>
      <x:c r="L52" s="1"/>
    </x:row>
    <x:row r="53" ht="22" customHeight="1">
      <x:c r="A53" s="1"/>
      <x:c r="B53" s="1"/>
      <x:c r="C53" s="1"/>
      <x:c r="D53" s="4"/>
      <x:c r="E53" s="4"/>
      <x:c r="F53" s="4"/>
      <x:c r="G53" s="4"/>
      <x:c r="H53" s="4"/>
      <x:c r="I53" s="4"/>
      <x:c r="J53" s="1"/>
      <x:c r="K53" s="1"/>
      <x:c r="L53" s="1"/>
    </x:row>
    <x:row r="54" ht="22" customHeight="1">
      <x:c r="A54" s="1"/>
      <x:c r="B54" s="1"/>
      <x:c r="C54" s="1"/>
      <x:c r="D54" s="4"/>
      <x:c r="E54" s="4"/>
      <x:c r="F54" s="4"/>
      <x:c r="G54" s="4"/>
      <x:c r="H54" s="4"/>
      <x:c r="I54" s="4"/>
      <x:c r="J54" s="1"/>
      <x:c r="K54" s="1"/>
      <x:c r="L54" s="1"/>
    </x:row>
    <x:row r="55" ht="22" customHeight="1">
      <x:c r="A55" s="1"/>
      <x:c r="B55" s="1"/>
      <x:c r="C55" s="1"/>
      <x:c r="D55" s="4"/>
      <x:c r="E55" s="4"/>
      <x:c r="F55" s="4"/>
      <x:c r="G55" s="4"/>
      <x:c r="H55" s="4"/>
      <x:c r="I55" s="4"/>
      <x:c r="J55" s="1"/>
      <x:c r="K55" s="1"/>
      <x:c r="L55" s="1"/>
    </x:row>
    <x:row r="56" ht="22" customHeight="1">
      <x:c r="A56" s="1"/>
      <x:c r="B56" s="1"/>
      <x:c r="C56" s="1"/>
      <x:c r="D56" s="4"/>
      <x:c r="E56" s="4"/>
      <x:c r="F56" s="4"/>
      <x:c r="G56" s="4"/>
      <x:c r="H56" s="4"/>
      <x:c r="I56" s="4"/>
      <x:c r="J56" s="1"/>
      <x:c r="K56" s="1"/>
      <x:c r="L56" s="1"/>
    </x:row>
    <x:row r="57" ht="22" customHeight="1">
      <x:c r="A57" s="1"/>
      <x:c r="B57" s="1"/>
      <x:c r="C57" s="1"/>
      <x:c r="D57" s="4"/>
      <x:c r="E57" s="4"/>
      <x:c r="F57" s="4"/>
      <x:c r="G57" s="4"/>
      <x:c r="H57" s="4"/>
      <x:c r="I57" s="4"/>
      <x:c r="J57" s="1"/>
      <x:c r="K57" s="1"/>
      <x:c r="L57" s="1"/>
    </x:row>
    <x:row r="58" ht="22" customHeight="1">
      <x:c r="A58" s="1"/>
      <x:c r="B58" s="1"/>
      <x:c r="C58" s="1"/>
      <x:c r="D58" s="4"/>
      <x:c r="E58" s="4"/>
      <x:c r="F58" s="4"/>
      <x:c r="G58" s="4"/>
      <x:c r="H58" s="4"/>
      <x:c r="I58" s="4"/>
      <x:c r="J58" s="1"/>
      <x:c r="K58" s="1"/>
      <x:c r="L58" s="1"/>
    </x:row>
    <x:row r="59" ht="22" customHeight="1">
      <x:c r="A59" s="1"/>
      <x:c r="B59" s="1"/>
      <x:c r="C59" s="1"/>
      <x:c r="D59" s="4"/>
      <x:c r="E59" s="4"/>
      <x:c r="F59" s="4"/>
      <x:c r="G59" s="4"/>
      <x:c r="H59" s="4"/>
      <x:c r="I59" s="4"/>
      <x:c r="J59" s="1"/>
      <x:c r="K59" s="1"/>
      <x:c r="L59" s="1"/>
    </x:row>
    <x:row r="60" ht="22" customHeight="1">
      <x:c r="A60" s="1"/>
      <x:c r="B60" s="1"/>
      <x:c r="C60" s="1"/>
      <x:c r="D60" s="4"/>
      <x:c r="E60" s="4"/>
      <x:c r="F60" s="4"/>
      <x:c r="G60" s="4"/>
      <x:c r="H60" s="4"/>
      <x:c r="I60" s="4"/>
      <x:c r="J60" s="1"/>
      <x:c r="K60" s="1"/>
      <x:c r="L60" s="1"/>
    </x:row>
    <x:row r="61" ht="22" customHeight="1">
      <x:c r="A61" s="1"/>
      <x:c r="B61" s="1"/>
      <x:c r="C61" s="1"/>
      <x:c r="D61" s="4"/>
      <x:c r="E61" s="4"/>
      <x:c r="F61" s="4"/>
      <x:c r="G61" s="4"/>
      <x:c r="H61" s="4"/>
      <x:c r="I61" s="4"/>
      <x:c r="J61" s="1"/>
      <x:c r="K61" s="1"/>
      <x:c r="L61" s="1"/>
    </x:row>
    <x:row r="62" ht="22" customHeight="1">
      <x:c r="A62" s="1"/>
      <x:c r="B62" s="1"/>
      <x:c r="C62" s="1"/>
      <x:c r="D62" s="4"/>
      <x:c r="E62" s="4"/>
      <x:c r="F62" s="4"/>
      <x:c r="G62" s="4"/>
      <x:c r="H62" s="4"/>
      <x:c r="I62" s="4"/>
      <x:c r="J62" s="1"/>
      <x:c r="K62" s="1"/>
      <x:c r="L62" s="1"/>
    </x:row>
    <x:row r="63" ht="22" customHeight="1">
      <x:c r="A63" s="1"/>
      <x:c r="B63" s="1"/>
      <x:c r="C63" s="1"/>
      <x:c r="D63" s="4"/>
      <x:c r="E63" s="4"/>
      <x:c r="F63" s="4"/>
      <x:c r="G63" s="4"/>
      <x:c r="H63" s="4"/>
      <x:c r="I63" s="4"/>
      <x:c r="J63" s="1"/>
      <x:c r="K63" s="1"/>
      <x:c r="L63" s="1"/>
    </x:row>
    <x:row r="64" ht="22" customHeight="1">
      <x:c r="A64" s="1"/>
      <x:c r="B64" s="1"/>
      <x:c r="C64" s="1"/>
      <x:c r="D64" s="4"/>
      <x:c r="E64" s="4"/>
      <x:c r="F64" s="4"/>
      <x:c r="G64" s="4"/>
      <x:c r="H64" s="4"/>
      <x:c r="I64" s="4"/>
      <x:c r="J64" s="1"/>
      <x:c r="K64" s="1"/>
      <x:c r="L64" s="1"/>
    </x:row>
    <x:row r="65" ht="22" customHeight="1">
      <x:c r="A65" s="1"/>
      <x:c r="B65" s="1"/>
      <x:c r="C65" s="1"/>
      <x:c r="D65" s="4"/>
      <x:c r="E65" s="4"/>
      <x:c r="F65" s="4"/>
      <x:c r="G65" s="4"/>
      <x:c r="H65" s="4"/>
      <x:c r="I65" s="4"/>
      <x:c r="J65" s="1"/>
      <x:c r="K65" s="1"/>
      <x:c r="L65" s="1"/>
    </x:row>
    <x:row r="66" ht="22" customHeight="1">
      <x:c r="A66" s="1"/>
      <x:c r="B66" s="1"/>
      <x:c r="C66" s="1"/>
      <x:c r="D66" s="4"/>
      <x:c r="E66" s="4"/>
      <x:c r="F66" s="4"/>
      <x:c r="G66" s="4"/>
      <x:c r="H66" s="4"/>
      <x:c r="I66" s="4"/>
      <x:c r="J66" s="1"/>
      <x:c r="K66" s="1"/>
      <x:c r="L66" s="1"/>
    </x:row>
    <x:row r="67" ht="22" customHeight="1">
      <x:c r="A67" s="1"/>
      <x:c r="B67" s="1"/>
      <x:c r="C67" s="1"/>
      <x:c r="D67" s="4"/>
      <x:c r="E67" s="4"/>
      <x:c r="F67" s="4"/>
      <x:c r="G67" s="4"/>
      <x:c r="H67" s="4"/>
      <x:c r="I67" s="4"/>
      <x:c r="J67" s="1"/>
      <x:c r="K67" s="1"/>
      <x:c r="L67" s="1"/>
    </x:row>
    <x:row r="68" ht="22" customHeight="1">
      <x:c r="A68" s="1"/>
      <x:c r="B68" s="1"/>
      <x:c r="C68" s="1"/>
      <x:c r="D68" s="4"/>
      <x:c r="E68" s="4"/>
      <x:c r="F68" s="4"/>
      <x:c r="G68" s="4"/>
      <x:c r="H68" s="4"/>
      <x:c r="I68" s="4"/>
      <x:c r="J68" s="1"/>
      <x:c r="K68" s="1"/>
      <x:c r="L68" s="1"/>
    </x:row>
    <x:row r="69" ht="22" customHeight="1">
      <x:c r="A69" s="1"/>
      <x:c r="B69" s="1"/>
      <x:c r="C69" s="1"/>
      <x:c r="D69" s="4"/>
      <x:c r="E69" s="4"/>
      <x:c r="F69" s="4"/>
      <x:c r="G69" s="4"/>
      <x:c r="H69" s="4"/>
      <x:c r="I69" s="4"/>
      <x:c r="J69" s="1"/>
      <x:c r="K69" s="1"/>
      <x:c r="L69" s="1"/>
    </x:row>
    <x:row r="70" ht="22" customHeight="1">
      <x:c r="A70" s="1"/>
      <x:c r="B70" s="1"/>
      <x:c r="C70" s="1"/>
      <x:c r="D70" s="4"/>
      <x:c r="E70" s="4"/>
      <x:c r="F70" s="4"/>
      <x:c r="G70" s="4"/>
      <x:c r="H70" s="4"/>
      <x:c r="I70" s="4"/>
      <x:c r="J70" s="1"/>
      <x:c r="K70" s="1"/>
      <x:c r="L70" s="1"/>
    </x:row>
    <x:row r="71" ht="22" customHeight="1">
      <x:c r="A71" s="1"/>
      <x:c r="B71" s="1"/>
      <x:c r="C71" s="1"/>
      <x:c r="D71" s="4"/>
      <x:c r="E71" s="4"/>
      <x:c r="F71" s="4"/>
      <x:c r="G71" s="4"/>
      <x:c r="H71" s="4"/>
      <x:c r="I71" s="4"/>
      <x:c r="J71" s="1"/>
      <x:c r="K71" s="1"/>
      <x:c r="L71" s="1"/>
    </x:row>
    <x:row r="72" ht="22" customHeight="1">
      <x:c r="A72" s="1"/>
      <x:c r="B72" s="1"/>
      <x:c r="C72" s="1"/>
      <x:c r="D72" s="4"/>
      <x:c r="E72" s="4"/>
      <x:c r="F72" s="4"/>
      <x:c r="G72" s="4"/>
      <x:c r="H72" s="4"/>
      <x:c r="I72" s="4"/>
      <x:c r="J72" s="1"/>
      <x:c r="K72" s="1"/>
      <x:c r="L72" s="1"/>
    </x:row>
    <x:row r="73" ht="22" customHeight="1">
      <x:c r="A73" s="1"/>
      <x:c r="B73" s="1"/>
      <x:c r="C73" s="1"/>
      <x:c r="D73" s="4"/>
      <x:c r="E73" s="4"/>
      <x:c r="F73" s="4"/>
      <x:c r="G73" s="4"/>
      <x:c r="H73" s="4"/>
      <x:c r="I73" s="4"/>
      <x:c r="J73" s="1"/>
      <x:c r="K73" s="1"/>
      <x:c r="L73" s="1"/>
    </x:row>
    <x:row r="74" ht="22" customHeight="1">
      <x:c r="A74" s="1"/>
      <x:c r="B74" s="1"/>
      <x:c r="C74" s="1"/>
      <x:c r="D74" s="4"/>
      <x:c r="E74" s="4"/>
      <x:c r="F74" s="4"/>
      <x:c r="G74" s="4"/>
      <x:c r="H74" s="4"/>
      <x:c r="I74" s="4"/>
      <x:c r="J74" s="1"/>
      <x:c r="K74" s="1"/>
      <x:c r="L74" s="1"/>
    </x:row>
    <x:row r="75" ht="22" customHeight="1">
      <x:c r="A75" s="1"/>
      <x:c r="B75" s="1"/>
      <x:c r="C75" s="1"/>
      <x:c r="D75" s="4"/>
      <x:c r="E75" s="4"/>
      <x:c r="F75" s="4"/>
      <x:c r="G75" s="4"/>
      <x:c r="H75" s="4"/>
      <x:c r="I75" s="4"/>
      <x:c r="J75" s="1"/>
      <x:c r="K75" s="1"/>
      <x:c r="L75" s="1"/>
    </x:row>
    <x:row r="76" ht="22" customHeight="1">
      <x:c r="A76" s="1"/>
      <x:c r="B76" s="1"/>
      <x:c r="C76" s="1"/>
      <x:c r="D76" s="4"/>
      <x:c r="E76" s="4"/>
      <x:c r="F76" s="4"/>
      <x:c r="G76" s="4"/>
      <x:c r="H76" s="4"/>
      <x:c r="I76" s="4"/>
      <x:c r="J76" s="1"/>
      <x:c r="K76" s="1"/>
      <x:c r="L76" s="1"/>
    </x:row>
    <x:row r="77" ht="22" customHeight="1">
      <x:c r="A77" s="1"/>
      <x:c r="B77" s="1"/>
      <x:c r="C77" s="1"/>
      <x:c r="D77" s="4"/>
      <x:c r="E77" s="4"/>
      <x:c r="F77" s="4"/>
      <x:c r="G77" s="4"/>
      <x:c r="H77" s="4"/>
      <x:c r="I77" s="4"/>
      <x:c r="J77" s="1"/>
      <x:c r="K77" s="1"/>
      <x:c r="L77" s="1"/>
    </x:row>
    <x:row r="78" ht="22" customHeight="1">
      <x:c r="A78" s="1"/>
      <x:c r="B78" s="1"/>
      <x:c r="C78" s="1"/>
      <x:c r="D78" s="4"/>
      <x:c r="E78" s="4"/>
      <x:c r="F78" s="4"/>
      <x:c r="G78" s="4"/>
      <x:c r="H78" s="4"/>
      <x:c r="I78" s="4"/>
      <x:c r="J78" s="1"/>
      <x:c r="K78" s="1"/>
      <x:c r="L78" s="1"/>
    </x:row>
    <x:row r="79" ht="22" customHeight="1">
      <x:c r="A79" s="1"/>
      <x:c r="B79" s="1"/>
      <x:c r="C79" s="1"/>
      <x:c r="D79" s="4"/>
      <x:c r="E79" s="4"/>
      <x:c r="F79" s="4"/>
      <x:c r="G79" s="4"/>
      <x:c r="H79" s="4"/>
      <x:c r="I79" s="4"/>
      <x:c r="J79" s="1"/>
      <x:c r="K79" s="1"/>
      <x:c r="L79" s="1"/>
    </x:row>
    <x:row r="80" ht="22" customHeight="1">
      <x:c r="A80" s="1"/>
      <x:c r="B80" s="1"/>
      <x:c r="C80" s="1"/>
      <x:c r="D80" s="4"/>
      <x:c r="E80" s="4"/>
      <x:c r="F80" s="4"/>
      <x:c r="G80" s="4"/>
      <x:c r="H80" s="4"/>
      <x:c r="I80" s="4"/>
      <x:c r="J80" s="1"/>
      <x:c r="K80" s="1"/>
      <x:c r="L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6" hidden="0" customWidth="1"/>
    <x:col min="11" max="11" width="26" hidden="0" customWidth="1"/>
    <x:col min="12" max="12" width="2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Cash Equity Bridge</x:v>
      </x:c>
      <x:c r="D2" s="2"/>
      <x:c r="E2" s="2"/>
      <x:c r="F2" s="2"/>
      <x:c r="G2" s="2"/>
      <x:c r="H2" s="2"/>
      <x:c r="I2" s="2"/>
      <x:c r="J2" s="1"/>
      <x:c r="K2" s="1"/>
      <x:c r="L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 t="str">
        <x:v>Case selected</x:v>
      </x:c>
      <x:c r="D4" s="3" t="str">
        <x:f>Inputs!D3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</x:row>
    <x:row r="7" ht="22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</x:row>
    <x:row r="8" ht="22" customHeight="1">
      <x:c r="A8" s="1"/>
      <x:c r="B8" s="1"/>
      <x:c r="C8" s="1" t="str">
        <x:v>netcash_h1</x:v>
      </x:c>
      <x:c r="D8" s="9" t="n">
        <x:f>'Actuals Sources'!$D$14+'Actuals Sources'!$D$15-'Actuals Sources'!$D$16-'Actuals Sources'!$D$17</x:f>
        <x:v>62.965189863000006</x:v>
      </x:c>
      <x:c r="E8" s="4"/>
      <x:c r="F8" s="4"/>
      <x:c r="G8" s="4"/>
      <x:c r="H8" s="4"/>
      <x:c r="I8" s="4"/>
      <x:c r="J8" s="1"/>
      <x:c r="K8" s="1"/>
      <x:c r="L8" s="1"/>
    </x:row>
    <x:row r="9" ht="22" customHeight="1">
      <x:c r="A9" s="1"/>
      <x:c r="B9" s="1"/>
      <x:c r="C9" s="1" t="str">
        <x:v>h2_revenue</x:v>
      </x:c>
      <x:c r="D9" s="9" t="n">
        <x:f>Inputs!$D$18-'Actuals Sources'!$D$9</x:f>
        <x:v>135.093628642</x:v>
      </x:c>
      <x:c r="E9" s="4"/>
      <x:c r="F9" s="4"/>
      <x:c r="G9" s="4"/>
      <x:c r="H9" s="4"/>
      <x:c r="I9" s="4"/>
      <x:c r="J9" s="1"/>
      <x:c r="K9" s="1"/>
      <x:c r="L9" s="1"/>
    </x:row>
    <x:row r="10" ht="22" customHeight="1">
      <x:c r="A10" s="1"/>
      <x:c r="B10" s="1"/>
      <x:c r="C10" s="1" t="str">
        <x:v>h2_ebit</x:v>
      </x:c>
      <x:c r="D10" s="9" t="n">
        <x:f>Inputs!$D$18*Inputs!D37-'Actuals Sources'!$D$10</x:f>
        <x:v>26.352948514999998</x:v>
      </x:c>
      <x:c r="E10" s="4"/>
      <x:c r="F10" s="4"/>
      <x:c r="G10" s="4"/>
      <x:c r="H10" s="4"/>
      <x:c r="I10" s="4"/>
      <x:c r="J10" s="1"/>
      <x:c r="K10" s="1"/>
      <x:c r="L10" s="1"/>
    </x:row>
    <x:row r="11" ht="22" customHeight="1">
      <x:c r="A11" s="1"/>
      <x:c r="B11" s="1"/>
      <x:c r="C11" s="1" t="str">
        <x:v>h2_nopat</x:v>
      </x:c>
      <x:c r="D11" s="9" t="n">
        <x:f>D10*(1-Inputs!$D$19)</x:f>
        <x:v>20.028240871399998</x:v>
      </x:c>
      <x:c r="E11" s="4"/>
      <x:c r="F11" s="4"/>
      <x:c r="G11" s="4"/>
      <x:c r="H11" s="4"/>
      <x:c r="I11" s="4"/>
      <x:c r="J11" s="1"/>
      <x:c r="K11" s="1"/>
      <x:c r="L11" s="1"/>
    </x:row>
    <x:row r="12" ht="22" customHeight="1">
      <x:c r="A12" s="1"/>
      <x:c r="B12" s="1"/>
      <x:c r="C12" s="1" t="str">
        <x:v>h2_da</x:v>
      </x:c>
      <x:c r="D12" s="9" t="n">
        <x:f>Inputs!D42-'Actuals Sources'!$D$19</x:f>
        <x:v>8.848654192</x:v>
      </x:c>
      <x:c r="E12" s="4"/>
      <x:c r="F12" s="4"/>
      <x:c r="G12" s="4"/>
      <x:c r="H12" s="4"/>
      <x:c r="I12" s="4"/>
      <x:c r="J12" s="1"/>
      <x:c r="K12" s="1"/>
      <x:c r="L12" s="1"/>
    </x:row>
    <x:row r="13" ht="22" customHeight="1">
      <x:c r="A13" s="1"/>
      <x:c r="B13" s="1"/>
      <x:c r="C13" s="1" t="str">
        <x:v>h2_capex</x:v>
      </x:c>
      <x:c r="D13" s="9" t="n">
        <x:f>Inputs!D47-'Actuals Sources'!$D$20</x:f>
        <x:v>24.180397739</x:v>
      </x:c>
      <x:c r="E13" s="4"/>
      <x:c r="F13" s="4"/>
      <x:c r="G13" s="4"/>
      <x:c r="H13" s="4"/>
      <x:c r="I13" s="4"/>
      <x:c r="J13" s="1"/>
      <x:c r="K13" s="1"/>
      <x:c r="L13" s="1"/>
    </x:row>
    <x:row r="14" ht="22" customHeight="1">
      <x:c r="A14" s="1"/>
      <x:c r="B14" s="1"/>
      <x:c r="C14" s="1" t="str">
        <x:v>h2_delta_nwc</x:v>
      </x:c>
      <x:c r="D14" s="9" t="n">
        <x:f>Inputs!$D$18*Inputs!D52-'Actuals Sources'!$D$18</x:f>
        <x:v>1.3498808780000076</x:v>
      </x:c>
      <x:c r="E14" s="4"/>
      <x:c r="F14" s="4"/>
      <x:c r="G14" s="4"/>
      <x:c r="H14" s="4"/>
      <x:c r="I14" s="4"/>
      <x:c r="J14" s="1"/>
      <x:c r="K14" s="1"/>
      <x:c r="L14" s="1"/>
    </x:row>
    <x:row r="15" ht="22" customHeight="1">
      <x:c r="A15" s="1"/>
      <x:c r="B15" s="1"/>
      <x:c r="C15" s="1" t="str">
        <x:v>h2_fcff</x:v>
      </x:c>
      <x:c r="D15" s="4" t="n">
        <x:f>D11+D12-D13-D14</x:f>
        <x:v>3.3466164463999917</x:v>
      </x:c>
      <x:c r="E15" s="4"/>
      <x:c r="F15" s="4"/>
      <x:c r="G15" s="4"/>
      <x:c r="H15" s="4"/>
      <x:c r="I15" s="4"/>
      <x:c r="J15" s="1"/>
      <x:c r="K15" s="1"/>
      <x:c r="L15" s="1"/>
    </x:row>
    <x:row r="16" ht="22" customHeight="1">
      <x:c r="A16" s="1"/>
      <x:c r="B16" s="1"/>
      <x:c r="C16" s="1" t="str">
        <x:v>h2_interest</x:v>
      </x:c>
      <x:c r="D16" s="9" t="n">
        <x:f>D8*Inputs!$D$20*0.5</x:f>
        <x:v>0.7870648732875001</x:v>
      </x:c>
      <x:c r="E16" s="4"/>
      <x:c r="F16" s="4"/>
      <x:c r="G16" s="4"/>
      <x:c r="H16" s="4"/>
      <x:c r="I16" s="4"/>
      <x:c r="J16" s="1"/>
      <x:c r="K16" s="1"/>
      <x:c r="L16" s="1"/>
    </x:row>
    <x:row r="17" ht="22" customHeight="1">
      <x:c r="A17" s="1"/>
      <x:c r="B17" s="1"/>
      <x:c r="C17" s="1" t="str">
        <x:v>h2_ni</x:v>
      </x:c>
      <x:c r="D17" s="9" t="n">
        <x:f>D11*'Actuals Sources'!D25+D16</x:f>
        <x:v>20.8153057446875</x:v>
      </x:c>
      <x:c r="E17" s="4"/>
      <x:c r="F17" s="4"/>
      <x:c r="G17" s="4"/>
      <x:c r="H17" s="4"/>
      <x:c r="I17" s="4"/>
      <x:c r="J17" s="1"/>
      <x:c r="K17" s="1"/>
      <x:c r="L17" s="1"/>
    </x:row>
    <x:row r="18" ht="22" customHeight="1">
      <x:c r="A18" s="1"/>
      <x:c r="B18" s="1"/>
      <x:c r="C18" s="1" t="str">
        <x:v>h2_dividend</x:v>
      </x:c>
      <x:c r="D18" s="9" t="n">
        <x:f>Inputs!$D$21</x:f>
        <x:v>3</x:v>
      </x:c>
      <x:c r="E18" s="4"/>
      <x:c r="F18" s="4"/>
      <x:c r="G18" s="4"/>
      <x:c r="H18" s="4"/>
      <x:c r="I18" s="4"/>
      <x:c r="J18" s="1"/>
      <x:c r="K18" s="1"/>
      <x:c r="L18" s="1"/>
    </x:row>
    <x:row r="19" ht="22" customHeight="1">
      <x:c r="A19" s="1"/>
      <x:c r="B19" s="1"/>
      <x:c r="C19" s="1" t="str">
        <x:v>h2_buyback</x:v>
      </x:c>
      <x:c r="D19" s="9" t="n">
        <x:f>Inputs!$D$22</x:f>
        <x:v>0</x:v>
      </x:c>
      <x:c r="E19" s="4"/>
      <x:c r="F19" s="4"/>
      <x:c r="G19" s="4"/>
      <x:c r="H19" s="4"/>
      <x:c r="I19" s="4"/>
      <x:c r="J19" s="1"/>
      <x:c r="K19" s="1"/>
      <x:c r="L19" s="1"/>
    </x:row>
    <x:row r="20" ht="22" customHeight="1">
      <x:c r="A20" s="1"/>
      <x:c r="B20" s="1"/>
      <x:c r="C20" s="1" t="str">
        <x:v>capital</x:v>
      </x:c>
      <x:c r="D20" s="9" t="n">
        <x:f>Inputs!$D$23</x:f>
        <x:v>0</x:v>
      </x:c>
      <x:c r="E20" s="4"/>
      <x:c r="F20" s="4"/>
      <x:c r="G20" s="4"/>
      <x:c r="H20" s="4"/>
      <x:c r="I20" s="4"/>
      <x:c r="J20" s="1"/>
      <x:c r="K20" s="1"/>
      <x:c r="L20" s="1"/>
    </x:row>
    <x:row r="21" ht="22" customHeight="1">
      <x:c r="A21" s="1"/>
      <x:c r="B21" s="1"/>
      <x:c r="C21" s="1" t="str">
        <x:v>netcash_2026e</x:v>
      </x:c>
      <x:c r="D21" s="4" t="n">
        <x:f>D8+D15+D16-D18-D19+D20</x:f>
        <x:v>64.0988711826875</x:v>
      </x:c>
      <x:c r="E21" s="4"/>
      <x:c r="F21" s="4"/>
      <x:c r="G21" s="4"/>
      <x:c r="H21" s="4"/>
      <x:c r="I21" s="4"/>
      <x:c r="J21" s="1"/>
      <x:c r="K21" s="1"/>
      <x:c r="L21" s="1"/>
    </x:row>
    <x:row r="22" ht="22" customHeight="1">
      <x:c r="A22" s="1"/>
      <x:c r="B22" s="1"/>
      <x:c r="C22" s="1" t="str">
        <x:v>book_2026e</x:v>
      </x:c>
      <x:c r="D22" s="9" t="n">
        <x:f>'Actuals Sources'!$D$12+D17-D18-D19+D20</x:f>
        <x:v>353.2545385026875</x:v>
      </x:c>
      <x:c r="E22" s="4"/>
      <x:c r="F22" s="4"/>
      <x:c r="G22" s="4"/>
      <x:c r="H22" s="4"/>
      <x:c r="I22" s="4"/>
      <x:c r="J22" s="1"/>
      <x:c r="K22" s="1"/>
      <x:c r="L22" s="1"/>
    </x:row>
    <x:row r="23" ht="22" customHeight="1">
      <x:c r="A23" s="1"/>
      <x:c r="B23" s="1"/>
      <x:c r="C23" s="1" t="str">
        <x:v>shares_mn</x:v>
      </x:c>
      <x:c r="D23" s="10" t="n">
        <x:f>'Actuals Sources'!$D$22+Inputs!$D$24</x:f>
        <x:v>21.07575</x:v>
      </x:c>
      <x:c r="E23" s="4"/>
      <x:c r="F23" s="4"/>
      <x:c r="G23" s="4"/>
      <x:c r="H23" s="4"/>
      <x:c r="I23" s="4"/>
      <x:c r="J23" s="1"/>
      <x:c r="K23" s="1"/>
      <x:c r="L23" s="1"/>
    </x:row>
    <x:row r="24" ht="22" customHeight="1">
      <x:c r="A24" s="1"/>
      <x:c r="B24" s="1"/>
      <x:c r="C24" s="1"/>
      <x:c r="D24" s="4"/>
      <x:c r="E24" s="4"/>
      <x:c r="F24" s="4"/>
      <x:c r="G24" s="4"/>
      <x:c r="H24" s="4"/>
      <x:c r="I24" s="4"/>
      <x:c r="J24" s="1"/>
      <x:c r="K24" s="1"/>
      <x:c r="L24" s="1"/>
    </x:row>
    <x:row r="25" ht="22" customHeight="1">
      <x:c r="A25" s="1"/>
      <x:c r="B25" s="1"/>
      <x:c r="C25" s="1"/>
      <x:c r="D25" s="4"/>
      <x:c r="E25" s="4"/>
      <x:c r="F25" s="4"/>
      <x:c r="G25" s="4"/>
      <x:c r="H25" s="4"/>
      <x:c r="I25" s="4"/>
      <x:c r="J25" s="1"/>
      <x:c r="K25" s="1"/>
      <x:c r="L25" s="1"/>
    </x:row>
    <x:row r="26" ht="22" customHeight="1">
      <x:c r="A26" s="1"/>
      <x:c r="B26" s="1"/>
      <x:c r="C26" s="1"/>
      <x:c r="D26" s="4"/>
      <x:c r="E26" s="4"/>
      <x:c r="F26" s="4"/>
      <x:c r="G26" s="4"/>
      <x:c r="H26" s="4"/>
      <x:c r="I26" s="4"/>
      <x:c r="J26" s="1"/>
      <x:c r="K26" s="1"/>
      <x:c r="L26" s="1"/>
    </x:row>
    <x:row r="27" ht="22" customHeight="1">
      <x:c r="A27" s="1"/>
      <x:c r="B27" s="1"/>
      <x:c r="C27" s="1"/>
      <x:c r="D27" s="4"/>
      <x:c r="E27" s="4"/>
      <x:c r="F27" s="4"/>
      <x:c r="G27" s="4"/>
      <x:c r="H27" s="4"/>
      <x:c r="I27" s="4"/>
      <x:c r="J27" s="1"/>
      <x:c r="K27" s="1"/>
      <x:c r="L27" s="1"/>
    </x:row>
    <x:row r="28" ht="22" customHeight="1">
      <x:c r="A28" s="1"/>
      <x:c r="B28" s="1"/>
      <x:c r="C28" s="1"/>
      <x:c r="D28" s="4"/>
      <x:c r="E28" s="4"/>
      <x:c r="F28" s="4"/>
      <x:c r="G28" s="4"/>
      <x:c r="H28" s="4"/>
      <x:c r="I28" s="4"/>
      <x:c r="J28" s="1"/>
      <x:c r="K28" s="1"/>
      <x:c r="L28" s="1"/>
    </x:row>
    <x:row r="29" ht="22" customHeight="1">
      <x:c r="A29" s="1"/>
      <x:c r="B29" s="1"/>
      <x:c r="C29" s="1"/>
      <x:c r="D29" s="4"/>
      <x:c r="E29" s="4"/>
      <x:c r="F29" s="4"/>
      <x:c r="G29" s="4"/>
      <x:c r="H29" s="4"/>
      <x:c r="I29" s="4"/>
      <x:c r="J29" s="1"/>
      <x:c r="K29" s="1"/>
      <x:c r="L29" s="1"/>
    </x:row>
    <x:row r="30" ht="22" customHeight="1">
      <x:c r="A30" s="1"/>
      <x:c r="B30" s="1"/>
      <x:c r="C30" s="1"/>
      <x:c r="D30" s="4"/>
      <x:c r="E30" s="4"/>
      <x:c r="F30" s="4"/>
      <x:c r="G30" s="4"/>
      <x:c r="H30" s="4"/>
      <x:c r="I30" s="4"/>
      <x:c r="J30" s="1"/>
      <x:c r="K30" s="1"/>
      <x:c r="L30" s="1"/>
    </x:row>
    <x:row r="31" ht="22" customHeight="1">
      <x:c r="A31" s="1"/>
      <x:c r="B31" s="1"/>
      <x:c r="C31" s="1"/>
      <x:c r="D31" s="4"/>
      <x:c r="E31" s="4"/>
      <x:c r="F31" s="4"/>
      <x:c r="G31" s="4"/>
      <x:c r="H31" s="4"/>
      <x:c r="I31" s="4"/>
      <x:c r="J31" s="1"/>
      <x:c r="K31" s="1"/>
      <x:c r="L31" s="1"/>
    </x:row>
    <x:row r="32" ht="22" customHeight="1">
      <x:c r="A32" s="1"/>
      <x:c r="B32" s="1"/>
      <x:c r="C32" s="1"/>
      <x:c r="D32" s="4"/>
      <x:c r="E32" s="4"/>
      <x:c r="F32" s="4"/>
      <x:c r="G32" s="4"/>
      <x:c r="H32" s="4"/>
      <x:c r="I32" s="4"/>
      <x:c r="J32" s="1"/>
      <x:c r="K32" s="1"/>
      <x:c r="L32" s="1"/>
    </x:row>
    <x:row r="33" ht="22" customHeight="1">
      <x:c r="A33" s="1"/>
      <x:c r="B33" s="1"/>
      <x:c r="C33" s="1"/>
      <x:c r="D33" s="4"/>
      <x:c r="E33" s="4"/>
      <x:c r="F33" s="4"/>
      <x:c r="G33" s="4"/>
      <x:c r="H33" s="4"/>
      <x:c r="I33" s="4"/>
      <x:c r="J33" s="1"/>
      <x:c r="K33" s="1"/>
      <x:c r="L33" s="1"/>
    </x:row>
    <x:row r="34" ht="22" customHeight="1">
      <x:c r="A34" s="1"/>
      <x:c r="B34" s="1"/>
      <x:c r="C34" s="1"/>
      <x:c r="D34" s="4"/>
      <x:c r="E34" s="4"/>
      <x:c r="F34" s="4"/>
      <x:c r="G34" s="4"/>
      <x:c r="H34" s="4"/>
      <x:c r="I34" s="4"/>
      <x:c r="J34" s="1"/>
      <x:c r="K34" s="1"/>
      <x:c r="L34" s="1"/>
    </x:row>
    <x:row r="35" ht="22" customHeight="1">
      <x:c r="A35" s="1"/>
      <x:c r="B35" s="1"/>
      <x:c r="C35" s="1"/>
      <x:c r="D35" s="4"/>
      <x:c r="E35" s="4"/>
      <x:c r="F35" s="4"/>
      <x:c r="G35" s="4"/>
      <x:c r="H35" s="4"/>
      <x:c r="I35" s="4"/>
      <x:c r="J35" s="1"/>
      <x:c r="K35" s="1"/>
      <x:c r="L35" s="1"/>
    </x:row>
    <x:row r="36" ht="22" customHeight="1">
      <x:c r="A36" s="1"/>
      <x:c r="B36" s="1"/>
      <x:c r="C36" s="1"/>
      <x:c r="D36" s="4"/>
      <x:c r="E36" s="4"/>
      <x:c r="F36" s="4"/>
      <x:c r="G36" s="4"/>
      <x:c r="H36" s="4"/>
      <x:c r="I36" s="4"/>
      <x:c r="J36" s="1"/>
      <x:c r="K36" s="1"/>
      <x:c r="L36" s="1"/>
    </x:row>
    <x:row r="37" ht="22" customHeight="1">
      <x:c r="A37" s="1"/>
      <x:c r="B37" s="1"/>
      <x:c r="C37" s="1"/>
      <x:c r="D37" s="4"/>
      <x:c r="E37" s="4"/>
      <x:c r="F37" s="4"/>
      <x:c r="G37" s="4"/>
      <x:c r="H37" s="4"/>
      <x:c r="I37" s="4"/>
      <x:c r="J37" s="1"/>
      <x:c r="K37" s="1"/>
      <x:c r="L37" s="1"/>
    </x:row>
    <x:row r="38" ht="22" customHeight="1">
      <x:c r="A38" s="1"/>
      <x:c r="B38" s="1"/>
      <x:c r="C38" s="1"/>
      <x:c r="D38" s="4"/>
      <x:c r="E38" s="4"/>
      <x:c r="F38" s="4"/>
      <x:c r="G38" s="4"/>
      <x:c r="H38" s="4"/>
      <x:c r="I38" s="4"/>
      <x:c r="J38" s="1"/>
      <x:c r="K38" s="1"/>
      <x:c r="L38" s="1"/>
    </x:row>
    <x:row r="39" ht="22" customHeight="1">
      <x:c r="A39" s="1"/>
      <x:c r="B39" s="1"/>
      <x:c r="C39" s="1"/>
      <x:c r="D39" s="4"/>
      <x:c r="E39" s="4"/>
      <x:c r="F39" s="4"/>
      <x:c r="G39" s="4"/>
      <x:c r="H39" s="4"/>
      <x:c r="I39" s="4"/>
      <x:c r="J39" s="1"/>
      <x:c r="K39" s="1"/>
      <x:c r="L39" s="1"/>
    </x:row>
    <x:row r="40" ht="22" customHeight="1">
      <x:c r="A40" s="1"/>
      <x:c r="B40" s="1"/>
      <x:c r="C40" s="1"/>
      <x:c r="D40" s="4"/>
      <x:c r="E40" s="4"/>
      <x:c r="F40" s="4"/>
      <x:c r="G40" s="4"/>
      <x:c r="H40" s="4"/>
      <x:c r="I40" s="4"/>
      <x:c r="J40" s="1"/>
      <x:c r="K40" s="1"/>
      <x:c r="L40" s="1"/>
    </x:row>
    <x:row r="41" ht="22" customHeight="1">
      <x:c r="A41" s="1"/>
      <x:c r="B41" s="1"/>
      <x:c r="C41" s="1"/>
      <x:c r="D41" s="4"/>
      <x:c r="E41" s="4"/>
      <x:c r="F41" s="4"/>
      <x:c r="G41" s="4"/>
      <x:c r="H41" s="4"/>
      <x:c r="I41" s="4"/>
      <x:c r="J41" s="1"/>
      <x:c r="K41" s="1"/>
      <x:c r="L41" s="1"/>
    </x:row>
    <x:row r="42" ht="22" customHeight="1">
      <x:c r="A42" s="1"/>
      <x:c r="B42" s="1"/>
      <x:c r="C42" s="1"/>
      <x:c r="D42" s="4"/>
      <x:c r="E42" s="4"/>
      <x:c r="F42" s="4"/>
      <x:c r="G42" s="4"/>
      <x:c r="H42" s="4"/>
      <x:c r="I42" s="4"/>
      <x:c r="J42" s="1"/>
      <x:c r="K42" s="1"/>
      <x:c r="L42" s="1"/>
    </x:row>
    <x:row r="43" ht="22" customHeight="1">
      <x:c r="A43" s="1"/>
      <x:c r="B43" s="1"/>
      <x:c r="C43" s="1"/>
      <x:c r="D43" s="4"/>
      <x:c r="E43" s="4"/>
      <x:c r="F43" s="4"/>
      <x:c r="G43" s="4"/>
      <x:c r="H43" s="4"/>
      <x:c r="I43" s="4"/>
      <x:c r="J43" s="1"/>
      <x:c r="K43" s="1"/>
      <x:c r="L43" s="1"/>
    </x:row>
    <x:row r="44" ht="22" customHeight="1">
      <x:c r="A44" s="1"/>
      <x:c r="B44" s="1"/>
      <x:c r="C44" s="1"/>
      <x:c r="D44" s="4"/>
      <x:c r="E44" s="4"/>
      <x:c r="F44" s="4"/>
      <x:c r="G44" s="4"/>
      <x:c r="H44" s="4"/>
      <x:c r="I44" s="4"/>
      <x:c r="J44" s="1"/>
      <x:c r="K44" s="1"/>
      <x:c r="L44" s="1"/>
    </x:row>
    <x:row r="45" ht="22" customHeight="1">
      <x:c r="A45" s="1"/>
      <x:c r="B45" s="1"/>
      <x:c r="C45" s="1"/>
      <x:c r="D45" s="4"/>
      <x:c r="E45" s="4"/>
      <x:c r="F45" s="4"/>
      <x:c r="G45" s="4"/>
      <x:c r="H45" s="4"/>
      <x:c r="I45" s="4"/>
      <x:c r="J45" s="1"/>
      <x:c r="K45" s="1"/>
      <x:c r="L45" s="1"/>
    </x:row>
    <x:row r="46" ht="22" customHeight="1">
      <x:c r="A46" s="1"/>
      <x:c r="B46" s="1"/>
      <x:c r="C46" s="1"/>
      <x:c r="D46" s="4"/>
      <x:c r="E46" s="4"/>
      <x:c r="F46" s="4"/>
      <x:c r="G46" s="4"/>
      <x:c r="H46" s="4"/>
      <x:c r="I46" s="4"/>
      <x:c r="J46" s="1"/>
      <x:c r="K46" s="1"/>
      <x:c r="L46" s="1"/>
    </x:row>
    <x:row r="47" ht="22" customHeight="1">
      <x:c r="A47" s="1"/>
      <x:c r="B47" s="1"/>
      <x:c r="C47" s="1"/>
      <x:c r="D47" s="4"/>
      <x:c r="E47" s="4"/>
      <x:c r="F47" s="4"/>
      <x:c r="G47" s="4"/>
      <x:c r="H47" s="4"/>
      <x:c r="I47" s="4"/>
      <x:c r="J47" s="1"/>
      <x:c r="K47" s="1"/>
      <x:c r="L47" s="1"/>
    </x:row>
    <x:row r="48" ht="22" customHeight="1">
      <x:c r="A48" s="1"/>
      <x:c r="B48" s="1"/>
      <x:c r="C48" s="1"/>
      <x:c r="D48" s="4"/>
      <x:c r="E48" s="4"/>
      <x:c r="F48" s="4"/>
      <x:c r="G48" s="4"/>
      <x:c r="H48" s="4"/>
      <x:c r="I48" s="4"/>
      <x:c r="J48" s="1"/>
      <x:c r="K48" s="1"/>
      <x:c r="L48" s="1"/>
    </x:row>
    <x:row r="49" ht="22" customHeight="1">
      <x:c r="A49" s="1"/>
      <x:c r="B49" s="1"/>
      <x:c r="C49" s="1"/>
      <x:c r="D49" s="4"/>
      <x:c r="E49" s="4"/>
      <x:c r="F49" s="4"/>
      <x:c r="G49" s="4"/>
      <x:c r="H49" s="4"/>
      <x:c r="I49" s="4"/>
      <x:c r="J49" s="1"/>
      <x:c r="K49" s="1"/>
      <x:c r="L49" s="1"/>
    </x:row>
    <x:row r="50" ht="22" customHeight="1">
      <x:c r="A50" s="1"/>
      <x:c r="B50" s="1"/>
      <x:c r="C50" s="1"/>
      <x:c r="D50" s="4"/>
      <x:c r="E50" s="4"/>
      <x:c r="F50" s="4"/>
      <x:c r="G50" s="4"/>
      <x:c r="H50" s="4"/>
      <x:c r="I50" s="4"/>
      <x:c r="J50" s="1"/>
      <x:c r="K50" s="1"/>
      <x:c r="L50" s="1"/>
    </x:row>
    <x:row r="51" ht="22" customHeight="1">
      <x:c r="A51" s="1"/>
      <x:c r="B51" s="1"/>
      <x:c r="C51" s="1"/>
      <x:c r="D51" s="4"/>
      <x:c r="E51" s="4"/>
      <x:c r="F51" s="4"/>
      <x:c r="G51" s="4"/>
      <x:c r="H51" s="4"/>
      <x:c r="I51" s="4"/>
      <x:c r="J51" s="1"/>
      <x:c r="K51" s="1"/>
      <x:c r="L51" s="1"/>
    </x:row>
    <x:row r="52" ht="22" customHeight="1">
      <x:c r="A52" s="1"/>
      <x:c r="B52" s="1"/>
      <x:c r="C52" s="1"/>
      <x:c r="D52" s="4"/>
      <x:c r="E52" s="4"/>
      <x:c r="F52" s="4"/>
      <x:c r="G52" s="4"/>
      <x:c r="H52" s="4"/>
      <x:c r="I52" s="4"/>
      <x:c r="J52" s="1"/>
      <x:c r="K52" s="1"/>
      <x:c r="L52" s="1"/>
    </x:row>
    <x:row r="53" ht="22" customHeight="1">
      <x:c r="A53" s="1"/>
      <x:c r="B53" s="1"/>
      <x:c r="C53" s="1"/>
      <x:c r="D53" s="4"/>
      <x:c r="E53" s="4"/>
      <x:c r="F53" s="4"/>
      <x:c r="G53" s="4"/>
      <x:c r="H53" s="4"/>
      <x:c r="I53" s="4"/>
      <x:c r="J53" s="1"/>
      <x:c r="K53" s="1"/>
      <x:c r="L53" s="1"/>
    </x:row>
    <x:row r="54" ht="22" customHeight="1">
      <x:c r="A54" s="1"/>
      <x:c r="B54" s="1"/>
      <x:c r="C54" s="1"/>
      <x:c r="D54" s="4"/>
      <x:c r="E54" s="4"/>
      <x:c r="F54" s="4"/>
      <x:c r="G54" s="4"/>
      <x:c r="H54" s="4"/>
      <x:c r="I54" s="4"/>
      <x:c r="J54" s="1"/>
      <x:c r="K54" s="1"/>
      <x:c r="L54" s="1"/>
    </x:row>
    <x:row r="55" ht="22" customHeight="1">
      <x:c r="A55" s="1"/>
      <x:c r="B55" s="1"/>
      <x:c r="C55" s="1"/>
      <x:c r="D55" s="4"/>
      <x:c r="E55" s="4"/>
      <x:c r="F55" s="4"/>
      <x:c r="G55" s="4"/>
      <x:c r="H55" s="4"/>
      <x:c r="I55" s="4"/>
      <x:c r="J55" s="1"/>
      <x:c r="K55" s="1"/>
      <x:c r="L55" s="1"/>
    </x:row>
    <x:row r="56" ht="22" customHeight="1">
      <x:c r="A56" s="1"/>
      <x:c r="B56" s="1"/>
      <x:c r="C56" s="1"/>
      <x:c r="D56" s="4"/>
      <x:c r="E56" s="4"/>
      <x:c r="F56" s="4"/>
      <x:c r="G56" s="4"/>
      <x:c r="H56" s="4"/>
      <x:c r="I56" s="4"/>
      <x:c r="J56" s="1"/>
      <x:c r="K56" s="1"/>
      <x:c r="L56" s="1"/>
    </x:row>
    <x:row r="57" ht="22" customHeight="1">
      <x:c r="A57" s="1"/>
      <x:c r="B57" s="1"/>
      <x:c r="C57" s="1"/>
      <x:c r="D57" s="4"/>
      <x:c r="E57" s="4"/>
      <x:c r="F57" s="4"/>
      <x:c r="G57" s="4"/>
      <x:c r="H57" s="4"/>
      <x:c r="I57" s="4"/>
      <x:c r="J57" s="1"/>
      <x:c r="K57" s="1"/>
      <x:c r="L57" s="1"/>
    </x:row>
    <x:row r="58" ht="22" customHeight="1">
      <x:c r="A58" s="1"/>
      <x:c r="B58" s="1"/>
      <x:c r="C58" s="1"/>
      <x:c r="D58" s="4"/>
      <x:c r="E58" s="4"/>
      <x:c r="F58" s="4"/>
      <x:c r="G58" s="4"/>
      <x:c r="H58" s="4"/>
      <x:c r="I58" s="4"/>
      <x:c r="J58" s="1"/>
      <x:c r="K58" s="1"/>
      <x:c r="L58" s="1"/>
    </x:row>
    <x:row r="59" ht="22" customHeight="1">
      <x:c r="A59" s="1"/>
      <x:c r="B59" s="1"/>
      <x:c r="C59" s="1"/>
      <x:c r="D59" s="4"/>
      <x:c r="E59" s="4"/>
      <x:c r="F59" s="4"/>
      <x:c r="G59" s="4"/>
      <x:c r="H59" s="4"/>
      <x:c r="I59" s="4"/>
      <x:c r="J59" s="1"/>
      <x:c r="K59" s="1"/>
      <x:c r="L59" s="1"/>
    </x:row>
    <x:row r="60" ht="22" customHeight="1">
      <x:c r="A60" s="1"/>
      <x:c r="B60" s="1"/>
      <x:c r="C60" s="1"/>
      <x:c r="D60" s="4"/>
      <x:c r="E60" s="4"/>
      <x:c r="F60" s="4"/>
      <x:c r="G60" s="4"/>
      <x:c r="H60" s="4"/>
      <x:c r="I60" s="4"/>
      <x:c r="J60" s="1"/>
      <x:c r="K60" s="1"/>
      <x:c r="L60" s="1"/>
    </x:row>
    <x:row r="61" ht="22" customHeight="1">
      <x:c r="A61" s="1"/>
      <x:c r="B61" s="1"/>
      <x:c r="C61" s="1"/>
      <x:c r="D61" s="4"/>
      <x:c r="E61" s="4"/>
      <x:c r="F61" s="4"/>
      <x:c r="G61" s="4"/>
      <x:c r="H61" s="4"/>
      <x:c r="I61" s="4"/>
      <x:c r="J61" s="1"/>
      <x:c r="K61" s="1"/>
      <x:c r="L61" s="1"/>
    </x:row>
    <x:row r="62" ht="22" customHeight="1">
      <x:c r="A62" s="1"/>
      <x:c r="B62" s="1"/>
      <x:c r="C62" s="1"/>
      <x:c r="D62" s="4"/>
      <x:c r="E62" s="4"/>
      <x:c r="F62" s="4"/>
      <x:c r="G62" s="4"/>
      <x:c r="H62" s="4"/>
      <x:c r="I62" s="4"/>
      <x:c r="J62" s="1"/>
      <x:c r="K62" s="1"/>
      <x:c r="L62" s="1"/>
    </x:row>
    <x:row r="63" ht="22" customHeight="1">
      <x:c r="A63" s="1"/>
      <x:c r="B63" s="1"/>
      <x:c r="C63" s="1"/>
      <x:c r="D63" s="4"/>
      <x:c r="E63" s="4"/>
      <x:c r="F63" s="4"/>
      <x:c r="G63" s="4"/>
      <x:c r="H63" s="4"/>
      <x:c r="I63" s="4"/>
      <x:c r="J63" s="1"/>
      <x:c r="K63" s="1"/>
      <x:c r="L63" s="1"/>
    </x:row>
    <x:row r="64" ht="22" customHeight="1">
      <x:c r="A64" s="1"/>
      <x:c r="B64" s="1"/>
      <x:c r="C64" s="1"/>
      <x:c r="D64" s="4"/>
      <x:c r="E64" s="4"/>
      <x:c r="F64" s="4"/>
      <x:c r="G64" s="4"/>
      <x:c r="H64" s="4"/>
      <x:c r="I64" s="4"/>
      <x:c r="J64" s="1"/>
      <x:c r="K64" s="1"/>
      <x:c r="L64" s="1"/>
    </x:row>
    <x:row r="65" ht="22" customHeight="1">
      <x:c r="A65" s="1"/>
      <x:c r="B65" s="1"/>
      <x:c r="C65" s="1"/>
      <x:c r="D65" s="4"/>
      <x:c r="E65" s="4"/>
      <x:c r="F65" s="4"/>
      <x:c r="G65" s="4"/>
      <x:c r="H65" s="4"/>
      <x:c r="I65" s="4"/>
      <x:c r="J65" s="1"/>
      <x:c r="K65" s="1"/>
      <x:c r="L65" s="1"/>
    </x:row>
    <x:row r="66" ht="22" customHeight="1">
      <x:c r="A66" s="1"/>
      <x:c r="B66" s="1"/>
      <x:c r="C66" s="1"/>
      <x:c r="D66" s="4"/>
      <x:c r="E66" s="4"/>
      <x:c r="F66" s="4"/>
      <x:c r="G66" s="4"/>
      <x:c r="H66" s="4"/>
      <x:c r="I66" s="4"/>
      <x:c r="J66" s="1"/>
      <x:c r="K66" s="1"/>
      <x:c r="L66" s="1"/>
    </x:row>
    <x:row r="67" ht="22" customHeight="1">
      <x:c r="A67" s="1"/>
      <x:c r="B67" s="1"/>
      <x:c r="C67" s="1"/>
      <x:c r="D67" s="4"/>
      <x:c r="E67" s="4"/>
      <x:c r="F67" s="4"/>
      <x:c r="G67" s="4"/>
      <x:c r="H67" s="4"/>
      <x:c r="I67" s="4"/>
      <x:c r="J67" s="1"/>
      <x:c r="K67" s="1"/>
      <x:c r="L67" s="1"/>
    </x:row>
    <x:row r="68" ht="22" customHeight="1">
      <x:c r="A68" s="1"/>
      <x:c r="B68" s="1"/>
      <x:c r="C68" s="1"/>
      <x:c r="D68" s="4"/>
      <x:c r="E68" s="4"/>
      <x:c r="F68" s="4"/>
      <x:c r="G68" s="4"/>
      <x:c r="H68" s="4"/>
      <x:c r="I68" s="4"/>
      <x:c r="J68" s="1"/>
      <x:c r="K68" s="1"/>
      <x:c r="L68" s="1"/>
    </x:row>
    <x:row r="69" ht="22" customHeight="1">
      <x:c r="A69" s="1"/>
      <x:c r="B69" s="1"/>
      <x:c r="C69" s="1"/>
      <x:c r="D69" s="4"/>
      <x:c r="E69" s="4"/>
      <x:c r="F69" s="4"/>
      <x:c r="G69" s="4"/>
      <x:c r="H69" s="4"/>
      <x:c r="I69" s="4"/>
      <x:c r="J69" s="1"/>
      <x:c r="K69" s="1"/>
      <x:c r="L69" s="1"/>
    </x:row>
    <x:row r="70" ht="22" customHeight="1">
      <x:c r="A70" s="1"/>
      <x:c r="B70" s="1"/>
      <x:c r="C70" s="1"/>
      <x:c r="D70" s="4"/>
      <x:c r="E70" s="4"/>
      <x:c r="F70" s="4"/>
      <x:c r="G70" s="4"/>
      <x:c r="H70" s="4"/>
      <x:c r="I70" s="4"/>
      <x:c r="J70" s="1"/>
      <x:c r="K70" s="1"/>
      <x:c r="L70" s="1"/>
    </x:row>
    <x:row r="71" ht="22" customHeight="1">
      <x:c r="A71" s="1"/>
      <x:c r="B71" s="1"/>
      <x:c r="C71" s="1"/>
      <x:c r="D71" s="4"/>
      <x:c r="E71" s="4"/>
      <x:c r="F71" s="4"/>
      <x:c r="G71" s="4"/>
      <x:c r="H71" s="4"/>
      <x:c r="I71" s="4"/>
      <x:c r="J71" s="1"/>
      <x:c r="K71" s="1"/>
      <x:c r="L71" s="1"/>
    </x:row>
    <x:row r="72" ht="22" customHeight="1">
      <x:c r="A72" s="1"/>
      <x:c r="B72" s="1"/>
      <x:c r="C72" s="1"/>
      <x:c r="D72" s="4"/>
      <x:c r="E72" s="4"/>
      <x:c r="F72" s="4"/>
      <x:c r="G72" s="4"/>
      <x:c r="H72" s="4"/>
      <x:c r="I72" s="4"/>
      <x:c r="J72" s="1"/>
      <x:c r="K72" s="1"/>
      <x:c r="L72" s="1"/>
    </x:row>
    <x:row r="73" ht="22" customHeight="1">
      <x:c r="A73" s="1"/>
      <x:c r="B73" s="1"/>
      <x:c r="C73" s="1"/>
      <x:c r="D73" s="4"/>
      <x:c r="E73" s="4"/>
      <x:c r="F73" s="4"/>
      <x:c r="G73" s="4"/>
      <x:c r="H73" s="4"/>
      <x:c r="I73" s="4"/>
      <x:c r="J73" s="1"/>
      <x:c r="K73" s="1"/>
      <x:c r="L73" s="1"/>
    </x:row>
    <x:row r="74" ht="22" customHeight="1">
      <x:c r="A74" s="1"/>
      <x:c r="B74" s="1"/>
      <x:c r="C74" s="1"/>
      <x:c r="D74" s="4"/>
      <x:c r="E74" s="4"/>
      <x:c r="F74" s="4"/>
      <x:c r="G74" s="4"/>
      <x:c r="H74" s="4"/>
      <x:c r="I74" s="4"/>
      <x:c r="J74" s="1"/>
      <x:c r="K74" s="1"/>
      <x:c r="L74" s="1"/>
    </x:row>
    <x:row r="75" ht="22" customHeight="1">
      <x:c r="A75" s="1"/>
      <x:c r="B75" s="1"/>
      <x:c r="C75" s="1"/>
      <x:c r="D75" s="4"/>
      <x:c r="E75" s="4"/>
      <x:c r="F75" s="4"/>
      <x:c r="G75" s="4"/>
      <x:c r="H75" s="4"/>
      <x:c r="I75" s="4"/>
      <x:c r="J75" s="1"/>
      <x:c r="K75" s="1"/>
      <x:c r="L75" s="1"/>
    </x:row>
    <x:row r="76" ht="22" customHeight="1">
      <x:c r="A76" s="1"/>
      <x:c r="B76" s="1"/>
      <x:c r="C76" s="1"/>
      <x:c r="D76" s="4"/>
      <x:c r="E76" s="4"/>
      <x:c r="F76" s="4"/>
      <x:c r="G76" s="4"/>
      <x:c r="H76" s="4"/>
      <x:c r="I76" s="4"/>
      <x:c r="J76" s="1"/>
      <x:c r="K76" s="1"/>
      <x:c r="L76" s="1"/>
    </x:row>
    <x:row r="77" ht="22" customHeight="1">
      <x:c r="A77" s="1"/>
      <x:c r="B77" s="1"/>
      <x:c r="C77" s="1"/>
      <x:c r="D77" s="4"/>
      <x:c r="E77" s="4"/>
      <x:c r="F77" s="4"/>
      <x:c r="G77" s="4"/>
      <x:c r="H77" s="4"/>
      <x:c r="I77" s="4"/>
      <x:c r="J77" s="1"/>
      <x:c r="K77" s="1"/>
      <x:c r="L77" s="1"/>
    </x:row>
    <x:row r="78" ht="22" customHeight="1">
      <x:c r="A78" s="1"/>
      <x:c r="B78" s="1"/>
      <x:c r="C78" s="1"/>
      <x:c r="D78" s="4"/>
      <x:c r="E78" s="4"/>
      <x:c r="F78" s="4"/>
      <x:c r="G78" s="4"/>
      <x:c r="H78" s="4"/>
      <x:c r="I78" s="4"/>
      <x:c r="J78" s="1"/>
      <x:c r="K78" s="1"/>
      <x:c r="L78" s="1"/>
    </x:row>
    <x:row r="79" ht="22" customHeight="1">
      <x:c r="A79" s="1"/>
      <x:c r="B79" s="1"/>
      <x:c r="C79" s="1"/>
      <x:c r="D79" s="4"/>
      <x:c r="E79" s="4"/>
      <x:c r="F79" s="4"/>
      <x:c r="G79" s="4"/>
      <x:c r="H79" s="4"/>
      <x:c r="I79" s="4"/>
      <x:c r="J79" s="1"/>
      <x:c r="K79" s="1"/>
      <x:c r="L79" s="1"/>
    </x:row>
    <x:row r="80" ht="22" customHeight="1">
      <x:c r="A80" s="1"/>
      <x:c r="B80" s="1"/>
      <x:c r="C80" s="1"/>
      <x:c r="D80" s="4"/>
      <x:c r="E80" s="4"/>
      <x:c r="F80" s="4"/>
      <x:c r="G80" s="4"/>
      <x:c r="H80" s="4"/>
      <x:c r="I80" s="4"/>
      <x:c r="J80" s="1"/>
      <x:c r="K80" s="1"/>
      <x:c r="L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6" hidden="0" customWidth="1"/>
    <x:col min="11" max="11" width="26" hidden="0" customWidth="1"/>
    <x:col min="12" max="12" width="2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DCF</x:v>
      </x:c>
      <x:c r="D2" s="2"/>
      <x:c r="E2" s="2"/>
      <x:c r="F2" s="2"/>
      <x:c r="G2" s="2"/>
      <x:c r="H2" s="2"/>
      <x:c r="I2" s="2"/>
      <x:c r="J2" s="1"/>
      <x:c r="K2" s="1"/>
      <x:c r="L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 t="str">
        <x:v>Case selected</x:v>
      </x:c>
      <x:c r="D4" s="3" t="str">
        <x:f>Inputs!D3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</x:row>
    <x:row r="7" ht="27" customHeight="1">
      <x:c r="A7" s="1"/>
      <x:c r="B7" s="1"/>
      <x:c r="C7" s="18"/>
      <x:c r="D7" s="18" t="n">
        <x:v>2027</x:v>
      </x:c>
      <x:c r="E7" s="18" t="n">
        <x:v>2028</x:v>
      </x:c>
      <x:c r="F7" s="18" t="n">
        <x:v>2029</x:v>
      </x:c>
      <x:c r="G7" s="18" t="n">
        <x:v>2030</x:v>
      </x:c>
      <x:c r="H7" s="18" t="n">
        <x:v>2031</x:v>
      </x:c>
      <x:c r="I7" s="1"/>
      <x:c r="J7" s="1"/>
      <x:c r="K7" s="1"/>
      <x:c r="L7" s="1"/>
    </x:row>
    <x:row r="8" ht="22" customHeight="1">
      <x:c r="A8" s="1"/>
      <x:c r="B8" s="1"/>
      <x:c r="C8" s="1" t="str">
        <x:v>FCFF</x:v>
      </x:c>
      <x:c r="D8" s="9" t="n">
        <x:f>Forecast!E19</x:f>
        <x:v>27.126099200000006</x:v>
      </x:c>
      <x:c r="E8" s="9" t="n">
        <x:f>Forecast!F19</x:f>
        <x:v>35.57017856</x:v>
      </x:c>
      <x:c r="F8" s="9" t="n">
        <x:f>Forecast!G19</x:f>
        <x:v>41.01796382720002</x:v>
      </x:c>
      <x:c r="G8" s="9" t="n">
        <x:f>Forecast!H19</x:f>
        <x:v>45.75392679091203</x:v>
      </x:c>
      <x:c r="H8" s="9" t="n">
        <x:f>Forecast!I19</x:f>
        <x:v>49.264130683161625</x:v>
      </x:c>
      <x:c r="I8" s="4"/>
      <x:c r="J8" s="1"/>
      <x:c r="K8" s="1"/>
      <x:c r="L8" s="1"/>
    </x:row>
    <x:row r="9" ht="22" customHeight="1">
      <x:c r="A9" s="1"/>
      <x:c r="B9" s="1"/>
      <x:c r="C9" s="1" t="str">
        <x:v>Years from 2026 year-end</x:v>
      </x:c>
      <x:c r="D9" s="4" t="n">
        <x:v>1</x:v>
      </x:c>
      <x:c r="E9" s="4" t="n">
        <x:v>2</x:v>
      </x:c>
      <x:c r="F9" s="4" t="n">
        <x:v>3</x:v>
      </x:c>
      <x:c r="G9" s="4" t="n">
        <x:v>4</x:v>
      </x:c>
      <x:c r="H9" s="4" t="n">
        <x:v>5</x:v>
      </x:c>
      <x:c r="I9" s="4"/>
      <x:c r="J9" s="1"/>
      <x:c r="K9" s="1"/>
      <x:c r="L9" s="1"/>
    </x:row>
    <x:row r="10" ht="22" customHeight="1">
      <x:c r="A10" s="1"/>
      <x:c r="B10" s="1"/>
      <x:c r="C10" s="1" t="str">
        <x:v>Discount factor</x:v>
      </x:c>
      <x:c r="D10" s="9" t="n">
        <x:f>1/(1+Inputs!$D$9)^D9</x:f>
        <x:v>0.9049773755656109</x:v>
      </x:c>
      <x:c r="E10" s="9" t="n">
        <x:f>1/(1+Inputs!$D$9)^E9</x:f>
        <x:v>0.8189840502856207</x:v>
      </x:c>
      <x:c r="F10" s="9" t="n">
        <x:f>1/(1+Inputs!$D$9)^F9</x:f>
        <x:v>0.7411620364575753</x:v>
      </x:c>
      <x:c r="G10" s="9" t="n">
        <x:f>1/(1+Inputs!$D$9)^G9</x:f>
        <x:v>0.6707348746222401</x:v>
      </x:c>
      <x:c r="H10" s="9" t="n">
        <x:f>1/(1+Inputs!$D$9)^H9</x:f>
        <x:v>0.6069998865359639</x:v>
      </x:c>
      <x:c r="I10" s="4"/>
      <x:c r="J10" s="1"/>
      <x:c r="K10" s="1"/>
      <x:c r="L10" s="1"/>
    </x:row>
    <x:row r="11" ht="22" customHeight="1">
      <x:c r="A11" s="1"/>
      <x:c r="B11" s="1"/>
      <x:c r="C11" s="1" t="str">
        <x:v>PV FCFF</x:v>
      </x:c>
      <x:c r="D11" s="4" t="n">
        <x:f>D8*D10</x:f>
        <x:v>24.548506063348423</x:v>
      </x:c>
      <x:c r="E11" s="4" t="n">
        <x:f>E8*E10</x:f>
        <x:v>29.13140890645155</x:v>
      </x:c>
      <x:c r="F11" s="4" t="n">
        <x:f>F8*F10</x:f>
        <x:v>30.400957601510726</x:v>
      </x:c>
      <x:c r="G11" s="4" t="n">
        <x:f>G8*G10</x:f>
        <x:v>30.688754349577536</x:v>
      </x:c>
      <x:c r="H11" s="4" t="n">
        <x:f>H8*H10</x:f>
        <x:v>29.903321734972007</x:v>
      </x:c>
      <x:c r="I11" s="4"/>
      <x:c r="J11" s="1"/>
      <x:c r="K11" s="1"/>
      <x:c r="L11" s="1"/>
    </x:row>
    <x:row r="12" ht="22" customHeight="1">
      <x:c r="A12" s="1"/>
      <x:c r="B12" s="1"/>
      <x:c r="C12" s="1"/>
      <x:c r="D12" s="4"/>
      <x:c r="E12" s="4"/>
      <x:c r="F12" s="4"/>
      <x:c r="G12" s="4"/>
      <x:c r="H12" s="4"/>
      <x:c r="I12" s="4"/>
      <x:c r="J12" s="1"/>
      <x:c r="K12" s="1"/>
      <x:c r="L12" s="1"/>
    </x:row>
    <x:row r="13" ht="22" customHeight="1">
      <x:c r="A13" s="1"/>
      <x:c r="B13" s="1"/>
      <x:c r="C13" s="1"/>
      <x:c r="D13" s="4"/>
      <x:c r="E13" s="4"/>
      <x:c r="F13" s="4"/>
      <x:c r="G13" s="4"/>
      <x:c r="H13" s="4"/>
      <x:c r="I13" s="4"/>
      <x:c r="J13" s="1"/>
      <x:c r="K13" s="1"/>
      <x:c r="L13" s="1"/>
    </x:row>
    <x:row r="14" ht="22" customHeight="1">
      <x:c r="A14" s="1"/>
      <x:c r="B14" s="1"/>
      <x:c r="C14" s="1"/>
      <x:c r="D14" s="4"/>
      <x:c r="E14" s="4"/>
      <x:c r="F14" s="4"/>
      <x:c r="G14" s="4"/>
      <x:c r="H14" s="4"/>
      <x:c r="I14" s="4"/>
      <x:c r="J14" s="1"/>
      <x:c r="K14" s="1"/>
      <x:c r="L14" s="1"/>
    </x:row>
    <x:row r="15" ht="22" customHeight="1">
      <x:c r="A15" s="1"/>
      <x:c r="B15" s="1"/>
      <x:c r="C15" s="1" t="str">
        <x:v>PV explicit FCFF</x:v>
      </x:c>
      <x:c r="D15" s="4" t="n">
        <x:f>SUM(D11:H11)</x:f>
        <x:v>144.67294865586024</x:v>
      </x:c>
      <x:c r="E15" s="4"/>
      <x:c r="F15" s="4"/>
      <x:c r="G15" s="4"/>
      <x:c r="H15" s="4"/>
      <x:c r="I15" s="4"/>
      <x:c r="J15" s="1"/>
      <x:c r="K15" s="1"/>
      <x:c r="L15" s="1"/>
    </x:row>
    <x:row r="16" ht="22" customHeight="1">
      <x:c r="A16" s="1"/>
      <x:c r="B16" s="1"/>
      <x:c r="C16" s="1" t="str">
        <x:v>Terminal NOPAT</x:v>
      </x:c>
      <x:c r="D16" s="9" t="n">
        <x:f>Forecast!I13*(1+Inputs!$D$11)</x:f>
        <x:v>56.6834267966239</x:v>
      </x:c>
      <x:c r="E16" s="4"/>
      <x:c r="F16" s="4"/>
      <x:c r="G16" s="4"/>
      <x:c r="H16" s="4"/>
      <x:c r="I16" s="4"/>
      <x:c r="J16" s="1"/>
      <x:c r="K16" s="1"/>
      <x:c r="L16" s="1"/>
    </x:row>
    <x:row r="17" ht="22" customHeight="1">
      <x:c r="A17" s="1"/>
      <x:c r="B17" s="1"/>
      <x:c r="C17" s="1" t="str">
        <x:v>Terminal FCFF</x:v>
      </x:c>
      <x:c r="D17" s="9" t="n">
        <x:f>D16*(1-Inputs!$D$11/Inputs!$D$12)</x:f>
        <x:v>47.9628995971433</x:v>
      </x:c>
      <x:c r="E17" s="4"/>
      <x:c r="F17" s="4"/>
      <x:c r="G17" s="4"/>
      <x:c r="H17" s="4"/>
      <x:c r="I17" s="4"/>
      <x:c r="J17" s="1"/>
      <x:c r="K17" s="1"/>
      <x:c r="L17" s="1"/>
    </x:row>
    <x:row r="18" ht="22" customHeight="1">
      <x:c r="A18" s="1"/>
      <x:c r="B18" s="1"/>
      <x:c r="C18" s="1" t="str">
        <x:v>Terminal EV</x:v>
      </x:c>
      <x:c r="D18" s="9" t="n">
        <x:f>D17/(Inputs!$D$9-Inputs!$D$11)</x:f>
        <x:v>564.2694070252153</x:v>
      </x:c>
      <x:c r="E18" s="4"/>
      <x:c r="F18" s="4"/>
      <x:c r="G18" s="4"/>
      <x:c r="H18" s="4"/>
      <x:c r="I18" s="4"/>
      <x:c r="J18" s="1"/>
      <x:c r="K18" s="1"/>
      <x:c r="L18" s="1"/>
    </x:row>
    <x:row r="19" ht="22" customHeight="1">
      <x:c r="A19" s="1"/>
      <x:c r="B19" s="1"/>
      <x:c r="C19" s="1" t="str">
        <x:v>PV terminal EV</x:v>
      </x:c>
      <x:c r="D19" s="9" t="n">
        <x:f>D18/(1+Inputs!$D$9)^5</x:f>
        <x:v>342.51146604002133</x:v>
      </x:c>
      <x:c r="E19" s="4"/>
      <x:c r="F19" s="4"/>
      <x:c r="G19" s="4"/>
      <x:c r="H19" s="4"/>
      <x:c r="I19" s="4"/>
      <x:c r="J19" s="1"/>
      <x:c r="K19" s="1"/>
      <x:c r="L19" s="1"/>
    </x:row>
    <x:row r="20" ht="22" customHeight="1">
      <x:c r="A20" s="1"/>
      <x:c r="B20" s="1"/>
      <x:c r="C20" s="1" t="str">
        <x:v>Operating EV</x:v>
      </x:c>
      <x:c r="D20" s="4" t="n">
        <x:f>D15+D19</x:f>
        <x:v>487.18441469588157</x:v>
      </x:c>
      <x:c r="E20" s="4"/>
      <x:c r="F20" s="4"/>
      <x:c r="G20" s="4"/>
      <x:c r="H20" s="4"/>
      <x:c r="I20" s="4"/>
      <x:c r="J20" s="1"/>
      <x:c r="K20" s="1"/>
      <x:c r="L20" s="1"/>
    </x:row>
    <x:row r="21" ht="22" customHeight="1">
      <x:c r="A21" s="1"/>
      <x:c r="B21" s="1"/>
      <x:c r="C21" s="1" t="str">
        <x:v>2026E net cash</x:v>
      </x:c>
      <x:c r="D21" s="9" t="n">
        <x:f>'Cash Equity Bridge'!D21</x:f>
        <x:v>64.0988711826875</x:v>
      </x:c>
      <x:c r="E21" s="4"/>
      <x:c r="F21" s="4"/>
      <x:c r="G21" s="4"/>
      <x:c r="H21" s="4"/>
      <x:c r="I21" s="4"/>
      <x:c r="J21" s="1"/>
      <x:c r="K21" s="1"/>
      <x:c r="L21" s="1"/>
    </x:row>
    <x:row r="22" ht="22" customHeight="1">
      <x:c r="A22" s="1"/>
      <x:c r="B22" s="1"/>
      <x:c r="C22" s="1" t="str">
        <x:v>Non-operating assets</x:v>
      </x:c>
      <x:c r="D22" s="9" t="n">
        <x:f>'Actuals Sources'!$D$23</x:f>
        <x:v>0</x:v>
      </x:c>
      <x:c r="E22" s="4"/>
      <x:c r="F22" s="4"/>
      <x:c r="G22" s="4"/>
      <x:c r="H22" s="4"/>
      <x:c r="I22" s="4"/>
      <x:c r="J22" s="1"/>
      <x:c r="K22" s="1"/>
      <x:c r="L22" s="1"/>
    </x:row>
    <x:row r="23" ht="22" customHeight="1">
      <x:c r="A23" s="1"/>
      <x:c r="B23" s="1"/>
      <x:c r="C23" s="1" t="str">
        <x:v>NCI book proxy</x:v>
      </x:c>
      <x:c r="D23" s="9" t="n">
        <x:f>'Actuals Sources'!$D$13</x:f>
        <x:v>1.079850375</x:v>
      </x:c>
      <x:c r="E23" s="4"/>
      <x:c r="F23" s="4"/>
      <x:c r="G23" s="4"/>
      <x:c r="H23" s="4"/>
      <x:c r="I23" s="4"/>
      <x:c r="J23" s="1"/>
      <x:c r="K23" s="1"/>
      <x:c r="L23" s="1"/>
    </x:row>
    <x:row r="24" ht="22" customHeight="1">
      <x:c r="A24" s="1"/>
      <x:c r="B24" s="1"/>
      <x:c r="C24" s="1" t="str">
        <x:v>Parent equity value</x:v>
      </x:c>
      <x:c r="D24" s="4" t="n">
        <x:f>D20+D21+D22-D23</x:f>
        <x:v>550.2034355035692</x:v>
      </x:c>
      <x:c r="E24" s="4"/>
      <x:c r="F24" s="4"/>
      <x:c r="G24" s="4"/>
      <x:c r="H24" s="4"/>
      <x:c r="I24" s="4"/>
      <x:c r="J24" s="1"/>
      <x:c r="K24" s="1"/>
      <x:c r="L24" s="1"/>
    </x:row>
    <x:row r="25" ht="22" customHeight="1">
      <x:c r="A25" s="1"/>
      <x:c r="B25" s="1"/>
      <x:c r="C25" s="1" t="str">
        <x:v>Shares million</x:v>
      </x:c>
      <x:c r="D25" s="9" t="n">
        <x:f>'Cash Equity Bridge'!D23</x:f>
        <x:v>21.07575</x:v>
      </x:c>
      <x:c r="E25" s="4"/>
      <x:c r="F25" s="4"/>
      <x:c r="G25" s="4"/>
      <x:c r="H25" s="4"/>
      <x:c r="I25" s="4"/>
      <x:c r="J25" s="1"/>
      <x:c r="K25" s="1"/>
      <x:c r="L25" s="1"/>
    </x:row>
    <x:row r="26" ht="22" customHeight="1">
      <x:c r="A26" s="1"/>
      <x:c r="B26" s="1"/>
      <x:c r="C26" s="1" t="str">
        <x:v>DCF KRW/share</x:v>
      </x:c>
      <x:c r="D26" s="4" t="n">
        <x:f>D24*1000/D25</x:f>
        <x:v>26105.995540067102</x:v>
      </x:c>
      <x:c r="E26" s="4"/>
      <x:c r="F26" s="4"/>
      <x:c r="G26" s="4"/>
      <x:c r="H26" s="4"/>
      <x:c r="I26" s="4"/>
      <x:c r="J26" s="1"/>
      <x:c r="K26" s="1"/>
      <x:c r="L26" s="1"/>
    </x:row>
    <x:row r="27" ht="22" customHeight="1">
      <x:c r="A27" s="1"/>
      <x:c r="B27" s="1"/>
      <x:c r="C27" s="1" t="str">
        <x:v>Terminal / EV</x:v>
      </x:c>
      <x:c r="D27" s="5" t="n">
        <x:f>D19/D20</x:f>
        <x:v>0.7030427405068563</x:v>
      </x:c>
      <x:c r="E27" s="4"/>
      <x:c r="F27" s="4"/>
      <x:c r="G27" s="4"/>
      <x:c r="H27" s="4"/>
      <x:c r="I27" s="4"/>
      <x:c r="J27" s="1"/>
      <x:c r="K27" s="1"/>
      <x:c r="L27" s="1"/>
    </x:row>
    <x:row r="28" ht="22" customHeight="1">
      <x:c r="A28" s="1"/>
      <x:c r="B28" s="1"/>
      <x:c r="C28" s="1"/>
      <x:c r="D28" s="4"/>
      <x:c r="E28" s="4"/>
      <x:c r="F28" s="4"/>
      <x:c r="G28" s="4"/>
      <x:c r="H28" s="4"/>
      <x:c r="I28" s="4"/>
      <x:c r="J28" s="1"/>
      <x:c r="K28" s="1"/>
      <x:c r="L28" s="1"/>
    </x:row>
    <x:row r="29" ht="22" customHeight="1">
      <x:c r="A29" s="1"/>
      <x:c r="B29" s="1"/>
      <x:c r="C29" s="1"/>
      <x:c r="D29" s="4"/>
      <x:c r="E29" s="4"/>
      <x:c r="F29" s="4"/>
      <x:c r="G29" s="4"/>
      <x:c r="H29" s="4"/>
      <x:c r="I29" s="4"/>
      <x:c r="J29" s="1"/>
      <x:c r="K29" s="1"/>
      <x:c r="L29" s="1"/>
    </x:row>
    <x:row r="30" ht="22" customHeight="1">
      <x:c r="A30" s="1"/>
      <x:c r="B30" s="1"/>
      <x:c r="C30" s="1"/>
      <x:c r="D30" s="4"/>
      <x:c r="E30" s="4"/>
      <x:c r="F30" s="4"/>
      <x:c r="G30" s="4"/>
      <x:c r="H30" s="4"/>
      <x:c r="I30" s="4"/>
      <x:c r="J30" s="1"/>
      <x:c r="K30" s="1"/>
      <x:c r="L30" s="1"/>
    </x:row>
    <x:row r="31" ht="22" customHeight="1">
      <x:c r="A31" s="1"/>
      <x:c r="B31" s="1"/>
      <x:c r="C31" s="1"/>
      <x:c r="D31" s="4"/>
      <x:c r="E31" s="4"/>
      <x:c r="F31" s="4"/>
      <x:c r="G31" s="4"/>
      <x:c r="H31" s="4"/>
      <x:c r="I31" s="4"/>
      <x:c r="J31" s="1"/>
      <x:c r="K31" s="1"/>
      <x:c r="L31" s="1"/>
    </x:row>
    <x:row r="32" ht="22" customHeight="1">
      <x:c r="A32" s="1"/>
      <x:c r="B32" s="1"/>
      <x:c r="C32" s="1"/>
      <x:c r="D32" s="4"/>
      <x:c r="E32" s="4"/>
      <x:c r="F32" s="4"/>
      <x:c r="G32" s="4"/>
      <x:c r="H32" s="4"/>
      <x:c r="I32" s="4"/>
      <x:c r="J32" s="1"/>
      <x:c r="K32" s="1"/>
      <x:c r="L32" s="1"/>
    </x:row>
    <x:row r="33" ht="22" customHeight="1">
      <x:c r="A33" s="1"/>
      <x:c r="B33" s="1"/>
      <x:c r="C33" s="1"/>
      <x:c r="D33" s="4"/>
      <x:c r="E33" s="4"/>
      <x:c r="F33" s="4"/>
      <x:c r="G33" s="4"/>
      <x:c r="H33" s="4"/>
      <x:c r="I33" s="4"/>
      <x:c r="J33" s="1"/>
      <x:c r="K33" s="1"/>
      <x:c r="L33" s="1"/>
    </x:row>
    <x:row r="34" ht="22" customHeight="1">
      <x:c r="A34" s="1"/>
      <x:c r="B34" s="1"/>
      <x:c r="C34" s="1"/>
      <x:c r="D34" s="4"/>
      <x:c r="E34" s="4"/>
      <x:c r="F34" s="4"/>
      <x:c r="G34" s="4"/>
      <x:c r="H34" s="4"/>
      <x:c r="I34" s="4"/>
      <x:c r="J34" s="1"/>
      <x:c r="K34" s="1"/>
      <x:c r="L34" s="1"/>
    </x:row>
    <x:row r="35" ht="22" customHeight="1">
      <x:c r="A35" s="1"/>
      <x:c r="B35" s="1"/>
      <x:c r="C35" s="1"/>
      <x:c r="D35" s="4"/>
      <x:c r="E35" s="4"/>
      <x:c r="F35" s="4"/>
      <x:c r="G35" s="4"/>
      <x:c r="H35" s="4"/>
      <x:c r="I35" s="4"/>
      <x:c r="J35" s="1"/>
      <x:c r="K35" s="1"/>
      <x:c r="L35" s="1"/>
    </x:row>
    <x:row r="36" ht="22" customHeight="1">
      <x:c r="A36" s="1"/>
      <x:c r="B36" s="1"/>
      <x:c r="C36" s="1"/>
      <x:c r="D36" s="4"/>
      <x:c r="E36" s="4"/>
      <x:c r="F36" s="4"/>
      <x:c r="G36" s="4"/>
      <x:c r="H36" s="4"/>
      <x:c r="I36" s="4"/>
      <x:c r="J36" s="1"/>
      <x:c r="K36" s="1"/>
      <x:c r="L36" s="1"/>
    </x:row>
    <x:row r="37" ht="22" customHeight="1">
      <x:c r="A37" s="1"/>
      <x:c r="B37" s="1"/>
      <x:c r="C37" s="1"/>
      <x:c r="D37" s="4"/>
      <x:c r="E37" s="4"/>
      <x:c r="F37" s="4"/>
      <x:c r="G37" s="4"/>
      <x:c r="H37" s="4"/>
      <x:c r="I37" s="4"/>
      <x:c r="J37" s="1"/>
      <x:c r="K37" s="1"/>
      <x:c r="L37" s="1"/>
    </x:row>
    <x:row r="38" ht="22" customHeight="1">
      <x:c r="A38" s="1"/>
      <x:c r="B38" s="1"/>
      <x:c r="C38" s="1"/>
      <x:c r="D38" s="4"/>
      <x:c r="E38" s="4"/>
      <x:c r="F38" s="4"/>
      <x:c r="G38" s="4"/>
      <x:c r="H38" s="4"/>
      <x:c r="I38" s="4"/>
      <x:c r="J38" s="1"/>
      <x:c r="K38" s="1"/>
      <x:c r="L38" s="1"/>
    </x:row>
    <x:row r="39" ht="22" customHeight="1">
      <x:c r="A39" s="1"/>
      <x:c r="B39" s="1"/>
      <x:c r="C39" s="1"/>
      <x:c r="D39" s="4"/>
      <x:c r="E39" s="4"/>
      <x:c r="F39" s="4"/>
      <x:c r="G39" s="4"/>
      <x:c r="H39" s="4"/>
      <x:c r="I39" s="4"/>
      <x:c r="J39" s="1"/>
      <x:c r="K39" s="1"/>
      <x:c r="L39" s="1"/>
    </x:row>
    <x:row r="40" ht="22" customHeight="1">
      <x:c r="A40" s="1"/>
      <x:c r="B40" s="1"/>
      <x:c r="C40" s="1"/>
      <x:c r="D40" s="4"/>
      <x:c r="E40" s="4"/>
      <x:c r="F40" s="4"/>
      <x:c r="G40" s="4"/>
      <x:c r="H40" s="4"/>
      <x:c r="I40" s="4"/>
      <x:c r="J40" s="1"/>
      <x:c r="K40" s="1"/>
      <x:c r="L40" s="1"/>
    </x:row>
    <x:row r="41" ht="22" customHeight="1">
      <x:c r="A41" s="1"/>
      <x:c r="B41" s="1"/>
      <x:c r="C41" s="1"/>
      <x:c r="D41" s="4"/>
      <x:c r="E41" s="4"/>
      <x:c r="F41" s="4"/>
      <x:c r="G41" s="4"/>
      <x:c r="H41" s="4"/>
      <x:c r="I41" s="4"/>
      <x:c r="J41" s="1"/>
      <x:c r="K41" s="1"/>
      <x:c r="L41" s="1"/>
    </x:row>
    <x:row r="42" ht="22" customHeight="1">
      <x:c r="A42" s="1"/>
      <x:c r="B42" s="1"/>
      <x:c r="C42" s="1"/>
      <x:c r="D42" s="4"/>
      <x:c r="E42" s="4"/>
      <x:c r="F42" s="4"/>
      <x:c r="G42" s="4"/>
      <x:c r="H42" s="4"/>
      <x:c r="I42" s="4"/>
      <x:c r="J42" s="1"/>
      <x:c r="K42" s="1"/>
      <x:c r="L42" s="1"/>
    </x:row>
    <x:row r="43" ht="22" customHeight="1">
      <x:c r="A43" s="1"/>
      <x:c r="B43" s="1"/>
      <x:c r="C43" s="1"/>
      <x:c r="D43" s="4"/>
      <x:c r="E43" s="4"/>
      <x:c r="F43" s="4"/>
      <x:c r="G43" s="4"/>
      <x:c r="H43" s="4"/>
      <x:c r="I43" s="4"/>
      <x:c r="J43" s="1"/>
      <x:c r="K43" s="1"/>
      <x:c r="L43" s="1"/>
    </x:row>
    <x:row r="44" ht="22" customHeight="1">
      <x:c r="A44" s="1"/>
      <x:c r="B44" s="1"/>
      <x:c r="C44" s="1"/>
      <x:c r="D44" s="4"/>
      <x:c r="E44" s="4"/>
      <x:c r="F44" s="4"/>
      <x:c r="G44" s="4"/>
      <x:c r="H44" s="4"/>
      <x:c r="I44" s="4"/>
      <x:c r="J44" s="1"/>
      <x:c r="K44" s="1"/>
      <x:c r="L44" s="1"/>
    </x:row>
    <x:row r="45" ht="22" customHeight="1">
      <x:c r="A45" s="1"/>
      <x:c r="B45" s="1"/>
      <x:c r="C45" s="1"/>
      <x:c r="D45" s="4"/>
      <x:c r="E45" s="4"/>
      <x:c r="F45" s="4"/>
      <x:c r="G45" s="4"/>
      <x:c r="H45" s="4"/>
      <x:c r="I45" s="4"/>
      <x:c r="J45" s="1"/>
      <x:c r="K45" s="1"/>
      <x:c r="L45" s="1"/>
    </x:row>
    <x:row r="46" ht="22" customHeight="1">
      <x:c r="A46" s="1"/>
      <x:c r="B46" s="1"/>
      <x:c r="C46" s="1"/>
      <x:c r="D46" s="4"/>
      <x:c r="E46" s="4"/>
      <x:c r="F46" s="4"/>
      <x:c r="G46" s="4"/>
      <x:c r="H46" s="4"/>
      <x:c r="I46" s="4"/>
      <x:c r="J46" s="1"/>
      <x:c r="K46" s="1"/>
      <x:c r="L46" s="1"/>
    </x:row>
    <x:row r="47" ht="22" customHeight="1">
      <x:c r="A47" s="1"/>
      <x:c r="B47" s="1"/>
      <x:c r="C47" s="1"/>
      <x:c r="D47" s="4"/>
      <x:c r="E47" s="4"/>
      <x:c r="F47" s="4"/>
      <x:c r="G47" s="4"/>
      <x:c r="H47" s="4"/>
      <x:c r="I47" s="4"/>
      <x:c r="J47" s="1"/>
      <x:c r="K47" s="1"/>
      <x:c r="L47" s="1"/>
    </x:row>
    <x:row r="48" ht="22" customHeight="1">
      <x:c r="A48" s="1"/>
      <x:c r="B48" s="1"/>
      <x:c r="C48" s="1"/>
      <x:c r="D48" s="4"/>
      <x:c r="E48" s="4"/>
      <x:c r="F48" s="4"/>
      <x:c r="G48" s="4"/>
      <x:c r="H48" s="4"/>
      <x:c r="I48" s="4"/>
      <x:c r="J48" s="1"/>
      <x:c r="K48" s="1"/>
      <x:c r="L48" s="1"/>
    </x:row>
    <x:row r="49" ht="22" customHeight="1">
      <x:c r="A49" s="1"/>
      <x:c r="B49" s="1"/>
      <x:c r="C49" s="1"/>
      <x:c r="D49" s="4"/>
      <x:c r="E49" s="4"/>
      <x:c r="F49" s="4"/>
      <x:c r="G49" s="4"/>
      <x:c r="H49" s="4"/>
      <x:c r="I49" s="4"/>
      <x:c r="J49" s="1"/>
      <x:c r="K49" s="1"/>
      <x:c r="L49" s="1"/>
    </x:row>
    <x:row r="50" ht="22" customHeight="1">
      <x:c r="A50" s="1"/>
      <x:c r="B50" s="1"/>
      <x:c r="C50" s="1"/>
      <x:c r="D50" s="4"/>
      <x:c r="E50" s="4"/>
      <x:c r="F50" s="4"/>
      <x:c r="G50" s="4"/>
      <x:c r="H50" s="4"/>
      <x:c r="I50" s="4"/>
      <x:c r="J50" s="1"/>
      <x:c r="K50" s="1"/>
      <x:c r="L50" s="1"/>
    </x:row>
    <x:row r="51" ht="22" customHeight="1">
      <x:c r="A51" s="1"/>
      <x:c r="B51" s="1"/>
      <x:c r="C51" s="1"/>
      <x:c r="D51" s="4"/>
      <x:c r="E51" s="4"/>
      <x:c r="F51" s="4"/>
      <x:c r="G51" s="4"/>
      <x:c r="H51" s="4"/>
      <x:c r="I51" s="4"/>
      <x:c r="J51" s="1"/>
      <x:c r="K51" s="1"/>
      <x:c r="L51" s="1"/>
    </x:row>
    <x:row r="52" ht="22" customHeight="1">
      <x:c r="A52" s="1"/>
      <x:c r="B52" s="1"/>
      <x:c r="C52" s="1"/>
      <x:c r="D52" s="4"/>
      <x:c r="E52" s="4"/>
      <x:c r="F52" s="4"/>
      <x:c r="G52" s="4"/>
      <x:c r="H52" s="4"/>
      <x:c r="I52" s="4"/>
      <x:c r="J52" s="1"/>
      <x:c r="K52" s="1"/>
      <x:c r="L52" s="1"/>
    </x:row>
    <x:row r="53" ht="22" customHeight="1">
      <x:c r="A53" s="1"/>
      <x:c r="B53" s="1"/>
      <x:c r="C53" s="1"/>
      <x:c r="D53" s="4"/>
      <x:c r="E53" s="4"/>
      <x:c r="F53" s="4"/>
      <x:c r="G53" s="4"/>
      <x:c r="H53" s="4"/>
      <x:c r="I53" s="4"/>
      <x:c r="J53" s="1"/>
      <x:c r="K53" s="1"/>
      <x:c r="L53" s="1"/>
    </x:row>
    <x:row r="54" ht="22" customHeight="1">
      <x:c r="A54" s="1"/>
      <x:c r="B54" s="1"/>
      <x:c r="C54" s="1"/>
      <x:c r="D54" s="4"/>
      <x:c r="E54" s="4"/>
      <x:c r="F54" s="4"/>
      <x:c r="G54" s="4"/>
      <x:c r="H54" s="4"/>
      <x:c r="I54" s="4"/>
      <x:c r="J54" s="1"/>
      <x:c r="K54" s="1"/>
      <x:c r="L54" s="1"/>
    </x:row>
    <x:row r="55" ht="22" customHeight="1">
      <x:c r="A55" s="1"/>
      <x:c r="B55" s="1"/>
      <x:c r="C55" s="1"/>
      <x:c r="D55" s="4"/>
      <x:c r="E55" s="4"/>
      <x:c r="F55" s="4"/>
      <x:c r="G55" s="4"/>
      <x:c r="H55" s="4"/>
      <x:c r="I55" s="4"/>
      <x:c r="J55" s="1"/>
      <x:c r="K55" s="1"/>
      <x:c r="L55" s="1"/>
    </x:row>
    <x:row r="56" ht="22" customHeight="1">
      <x:c r="A56" s="1"/>
      <x:c r="B56" s="1"/>
      <x:c r="C56" s="1"/>
      <x:c r="D56" s="4"/>
      <x:c r="E56" s="4"/>
      <x:c r="F56" s="4"/>
      <x:c r="G56" s="4"/>
      <x:c r="H56" s="4"/>
      <x:c r="I56" s="4"/>
      <x:c r="J56" s="1"/>
      <x:c r="K56" s="1"/>
      <x:c r="L56" s="1"/>
    </x:row>
    <x:row r="57" ht="22" customHeight="1">
      <x:c r="A57" s="1"/>
      <x:c r="B57" s="1"/>
      <x:c r="C57" s="1"/>
      <x:c r="D57" s="4"/>
      <x:c r="E57" s="4"/>
      <x:c r="F57" s="4"/>
      <x:c r="G57" s="4"/>
      <x:c r="H57" s="4"/>
      <x:c r="I57" s="4"/>
      <x:c r="J57" s="1"/>
      <x:c r="K57" s="1"/>
      <x:c r="L57" s="1"/>
    </x:row>
    <x:row r="58" ht="22" customHeight="1">
      <x:c r="A58" s="1"/>
      <x:c r="B58" s="1"/>
      <x:c r="C58" s="1"/>
      <x:c r="D58" s="4"/>
      <x:c r="E58" s="4"/>
      <x:c r="F58" s="4"/>
      <x:c r="G58" s="4"/>
      <x:c r="H58" s="4"/>
      <x:c r="I58" s="4"/>
      <x:c r="J58" s="1"/>
      <x:c r="K58" s="1"/>
      <x:c r="L58" s="1"/>
    </x:row>
    <x:row r="59" ht="22" customHeight="1">
      <x:c r="A59" s="1"/>
      <x:c r="B59" s="1"/>
      <x:c r="C59" s="1"/>
      <x:c r="D59" s="4"/>
      <x:c r="E59" s="4"/>
      <x:c r="F59" s="4"/>
      <x:c r="G59" s="4"/>
      <x:c r="H59" s="4"/>
      <x:c r="I59" s="4"/>
      <x:c r="J59" s="1"/>
      <x:c r="K59" s="1"/>
      <x:c r="L59" s="1"/>
    </x:row>
    <x:row r="60" ht="22" customHeight="1">
      <x:c r="A60" s="1"/>
      <x:c r="B60" s="1"/>
      <x:c r="C60" s="1"/>
      <x:c r="D60" s="4"/>
      <x:c r="E60" s="4"/>
      <x:c r="F60" s="4"/>
      <x:c r="G60" s="4"/>
      <x:c r="H60" s="4"/>
      <x:c r="I60" s="4"/>
      <x:c r="J60" s="1"/>
      <x:c r="K60" s="1"/>
      <x:c r="L60" s="1"/>
    </x:row>
    <x:row r="61" ht="22" customHeight="1">
      <x:c r="A61" s="1"/>
      <x:c r="B61" s="1"/>
      <x:c r="C61" s="1"/>
      <x:c r="D61" s="4"/>
      <x:c r="E61" s="4"/>
      <x:c r="F61" s="4"/>
      <x:c r="G61" s="4"/>
      <x:c r="H61" s="4"/>
      <x:c r="I61" s="4"/>
      <x:c r="J61" s="1"/>
      <x:c r="K61" s="1"/>
      <x:c r="L61" s="1"/>
    </x:row>
    <x:row r="62" ht="22" customHeight="1">
      <x:c r="A62" s="1"/>
      <x:c r="B62" s="1"/>
      <x:c r="C62" s="1"/>
      <x:c r="D62" s="4"/>
      <x:c r="E62" s="4"/>
      <x:c r="F62" s="4"/>
      <x:c r="G62" s="4"/>
      <x:c r="H62" s="4"/>
      <x:c r="I62" s="4"/>
      <x:c r="J62" s="1"/>
      <x:c r="K62" s="1"/>
      <x:c r="L62" s="1"/>
    </x:row>
    <x:row r="63" ht="22" customHeight="1">
      <x:c r="A63" s="1"/>
      <x:c r="B63" s="1"/>
      <x:c r="C63" s="1"/>
      <x:c r="D63" s="4"/>
      <x:c r="E63" s="4"/>
      <x:c r="F63" s="4"/>
      <x:c r="G63" s="4"/>
      <x:c r="H63" s="4"/>
      <x:c r="I63" s="4"/>
      <x:c r="J63" s="1"/>
      <x:c r="K63" s="1"/>
      <x:c r="L63" s="1"/>
    </x:row>
    <x:row r="64" ht="22" customHeight="1">
      <x:c r="A64" s="1"/>
      <x:c r="B64" s="1"/>
      <x:c r="C64" s="1"/>
      <x:c r="D64" s="4"/>
      <x:c r="E64" s="4"/>
      <x:c r="F64" s="4"/>
      <x:c r="G64" s="4"/>
      <x:c r="H64" s="4"/>
      <x:c r="I64" s="4"/>
      <x:c r="J64" s="1"/>
      <x:c r="K64" s="1"/>
      <x:c r="L64" s="1"/>
    </x:row>
    <x:row r="65" ht="22" customHeight="1">
      <x:c r="A65" s="1"/>
      <x:c r="B65" s="1"/>
      <x:c r="C65" s="1"/>
      <x:c r="D65" s="4"/>
      <x:c r="E65" s="4"/>
      <x:c r="F65" s="4"/>
      <x:c r="G65" s="4"/>
      <x:c r="H65" s="4"/>
      <x:c r="I65" s="4"/>
      <x:c r="J65" s="1"/>
      <x:c r="K65" s="1"/>
      <x:c r="L65" s="1"/>
    </x:row>
    <x:row r="66" ht="22" customHeight="1">
      <x:c r="A66" s="1"/>
      <x:c r="B66" s="1"/>
      <x:c r="C66" s="1"/>
      <x:c r="D66" s="4"/>
      <x:c r="E66" s="4"/>
      <x:c r="F66" s="4"/>
      <x:c r="G66" s="4"/>
      <x:c r="H66" s="4"/>
      <x:c r="I66" s="4"/>
      <x:c r="J66" s="1"/>
      <x:c r="K66" s="1"/>
      <x:c r="L66" s="1"/>
    </x:row>
    <x:row r="67" ht="22" customHeight="1">
      <x:c r="A67" s="1"/>
      <x:c r="B67" s="1"/>
      <x:c r="C67" s="1"/>
      <x:c r="D67" s="4"/>
      <x:c r="E67" s="4"/>
      <x:c r="F67" s="4"/>
      <x:c r="G67" s="4"/>
      <x:c r="H67" s="4"/>
      <x:c r="I67" s="4"/>
      <x:c r="J67" s="1"/>
      <x:c r="K67" s="1"/>
      <x:c r="L67" s="1"/>
    </x:row>
    <x:row r="68" ht="22" customHeight="1">
      <x:c r="A68" s="1"/>
      <x:c r="B68" s="1"/>
      <x:c r="C68" s="1"/>
      <x:c r="D68" s="4"/>
      <x:c r="E68" s="4"/>
      <x:c r="F68" s="4"/>
      <x:c r="G68" s="4"/>
      <x:c r="H68" s="4"/>
      <x:c r="I68" s="4"/>
      <x:c r="J68" s="1"/>
      <x:c r="K68" s="1"/>
      <x:c r="L68" s="1"/>
    </x:row>
    <x:row r="69" ht="22" customHeight="1">
      <x:c r="A69" s="1"/>
      <x:c r="B69" s="1"/>
      <x:c r="C69" s="1"/>
      <x:c r="D69" s="4"/>
      <x:c r="E69" s="4"/>
      <x:c r="F69" s="4"/>
      <x:c r="G69" s="4"/>
      <x:c r="H69" s="4"/>
      <x:c r="I69" s="4"/>
      <x:c r="J69" s="1"/>
      <x:c r="K69" s="1"/>
      <x:c r="L69" s="1"/>
    </x:row>
    <x:row r="70" ht="22" customHeight="1">
      <x:c r="A70" s="1"/>
      <x:c r="B70" s="1"/>
      <x:c r="C70" s="1"/>
      <x:c r="D70" s="4"/>
      <x:c r="E70" s="4"/>
      <x:c r="F70" s="4"/>
      <x:c r="G70" s="4"/>
      <x:c r="H70" s="4"/>
      <x:c r="I70" s="4"/>
      <x:c r="J70" s="1"/>
      <x:c r="K70" s="1"/>
      <x:c r="L70" s="1"/>
    </x:row>
    <x:row r="71" ht="22" customHeight="1">
      <x:c r="A71" s="1"/>
      <x:c r="B71" s="1"/>
      <x:c r="C71" s="1"/>
      <x:c r="D71" s="4"/>
      <x:c r="E71" s="4"/>
      <x:c r="F71" s="4"/>
      <x:c r="G71" s="4"/>
      <x:c r="H71" s="4"/>
      <x:c r="I71" s="4"/>
      <x:c r="J71" s="1"/>
      <x:c r="K71" s="1"/>
      <x:c r="L71" s="1"/>
    </x:row>
    <x:row r="72" ht="22" customHeight="1">
      <x:c r="A72" s="1"/>
      <x:c r="B72" s="1"/>
      <x:c r="C72" s="1"/>
      <x:c r="D72" s="4"/>
      <x:c r="E72" s="4"/>
      <x:c r="F72" s="4"/>
      <x:c r="G72" s="4"/>
      <x:c r="H72" s="4"/>
      <x:c r="I72" s="4"/>
      <x:c r="J72" s="1"/>
      <x:c r="K72" s="1"/>
      <x:c r="L72" s="1"/>
    </x:row>
    <x:row r="73" ht="22" customHeight="1">
      <x:c r="A73" s="1"/>
      <x:c r="B73" s="1"/>
      <x:c r="C73" s="1"/>
      <x:c r="D73" s="4"/>
      <x:c r="E73" s="4"/>
      <x:c r="F73" s="4"/>
      <x:c r="G73" s="4"/>
      <x:c r="H73" s="4"/>
      <x:c r="I73" s="4"/>
      <x:c r="J73" s="1"/>
      <x:c r="K73" s="1"/>
      <x:c r="L73" s="1"/>
    </x:row>
    <x:row r="74" ht="22" customHeight="1">
      <x:c r="A74" s="1"/>
      <x:c r="B74" s="1"/>
      <x:c r="C74" s="1"/>
      <x:c r="D74" s="4"/>
      <x:c r="E74" s="4"/>
      <x:c r="F74" s="4"/>
      <x:c r="G74" s="4"/>
      <x:c r="H74" s="4"/>
      <x:c r="I74" s="4"/>
      <x:c r="J74" s="1"/>
      <x:c r="K74" s="1"/>
      <x:c r="L74" s="1"/>
    </x:row>
    <x:row r="75" ht="22" customHeight="1">
      <x:c r="A75" s="1"/>
      <x:c r="B75" s="1"/>
      <x:c r="C75" s="1"/>
      <x:c r="D75" s="4"/>
      <x:c r="E75" s="4"/>
      <x:c r="F75" s="4"/>
      <x:c r="G75" s="4"/>
      <x:c r="H75" s="4"/>
      <x:c r="I75" s="4"/>
      <x:c r="J75" s="1"/>
      <x:c r="K75" s="1"/>
      <x:c r="L75" s="1"/>
    </x:row>
    <x:row r="76" ht="22" customHeight="1">
      <x:c r="A76" s="1"/>
      <x:c r="B76" s="1"/>
      <x:c r="C76" s="1"/>
      <x:c r="D76" s="4"/>
      <x:c r="E76" s="4"/>
      <x:c r="F76" s="4"/>
      <x:c r="G76" s="4"/>
      <x:c r="H76" s="4"/>
      <x:c r="I76" s="4"/>
      <x:c r="J76" s="1"/>
      <x:c r="K76" s="1"/>
      <x:c r="L76" s="1"/>
    </x:row>
    <x:row r="77" ht="22" customHeight="1">
      <x:c r="A77" s="1"/>
      <x:c r="B77" s="1"/>
      <x:c r="C77" s="1"/>
      <x:c r="D77" s="4"/>
      <x:c r="E77" s="4"/>
      <x:c r="F77" s="4"/>
      <x:c r="G77" s="4"/>
      <x:c r="H77" s="4"/>
      <x:c r="I77" s="4"/>
      <x:c r="J77" s="1"/>
      <x:c r="K77" s="1"/>
      <x:c r="L77" s="1"/>
    </x:row>
    <x:row r="78" ht="22" customHeight="1">
      <x:c r="A78" s="1"/>
      <x:c r="B78" s="1"/>
      <x:c r="C78" s="1"/>
      <x:c r="D78" s="4"/>
      <x:c r="E78" s="4"/>
      <x:c r="F78" s="4"/>
      <x:c r="G78" s="4"/>
      <x:c r="H78" s="4"/>
      <x:c r="I78" s="4"/>
      <x:c r="J78" s="1"/>
      <x:c r="K78" s="1"/>
      <x:c r="L78" s="1"/>
    </x:row>
    <x:row r="79" ht="22" customHeight="1">
      <x:c r="A79" s="1"/>
      <x:c r="B79" s="1"/>
      <x:c r="C79" s="1"/>
      <x:c r="D79" s="4"/>
      <x:c r="E79" s="4"/>
      <x:c r="F79" s="4"/>
      <x:c r="G79" s="4"/>
      <x:c r="H79" s="4"/>
      <x:c r="I79" s="4"/>
      <x:c r="J79" s="1"/>
      <x:c r="K79" s="1"/>
      <x:c r="L79" s="1"/>
    </x:row>
    <x:row r="80" ht="22" customHeight="1">
      <x:c r="A80" s="1"/>
      <x:c r="B80" s="1"/>
      <x:c r="C80" s="1"/>
      <x:c r="D80" s="4"/>
      <x:c r="E80" s="4"/>
      <x:c r="F80" s="4"/>
      <x:c r="G80" s="4"/>
      <x:c r="H80" s="4"/>
      <x:c r="I80" s="4"/>
      <x:c r="J80" s="1"/>
      <x:c r="K80" s="1"/>
      <x:c r="L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6" hidden="0" customWidth="1"/>
    <x:col min="11" max="11" width="26" hidden="0" customWidth="1"/>
    <x:col min="12" max="12" width="2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RIM</x:v>
      </x:c>
      <x:c r="D2" s="2"/>
      <x:c r="E2" s="2"/>
      <x:c r="F2" s="2"/>
      <x:c r="G2" s="2"/>
      <x:c r="H2" s="2"/>
      <x:c r="I2" s="2"/>
      <x:c r="J2" s="1"/>
      <x:c r="K2" s="1"/>
      <x:c r="L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 t="str">
        <x:v>Case selected</x:v>
      </x:c>
      <x:c r="D4" s="3" t="str">
        <x:f>Inputs!D3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</x:row>
    <x:row r="7" ht="27" customHeight="1">
      <x:c r="A7" s="1"/>
      <x:c r="B7" s="1"/>
      <x:c r="C7" s="18"/>
      <x:c r="D7" s="18" t="n">
        <x:v>2027</x:v>
      </x:c>
      <x:c r="E7" s="18" t="n">
        <x:v>2028</x:v>
      </x:c>
      <x:c r="F7" s="18" t="n">
        <x:v>2029</x:v>
      </x:c>
      <x:c r="G7" s="18" t="n">
        <x:v>2030</x:v>
      </x:c>
      <x:c r="H7" s="18" t="n">
        <x:v>2031</x:v>
      </x:c>
      <x:c r="I7" s="1"/>
      <x:c r="J7" s="1"/>
      <x:c r="K7" s="1"/>
      <x:c r="L7" s="1"/>
    </x:row>
    <x:row r="8" ht="22" customHeight="1">
      <x:c r="A8" s="1"/>
      <x:c r="B8" s="1"/>
      <x:c r="C8" s="1" t="str">
        <x:v>Beginning parent book</x:v>
      </x:c>
      <x:c r="D8" s="9" t="n">
        <x:f>Forecast!E23</x:f>
        <x:v>353.2545385026875</x:v>
      </x:c>
      <x:c r="E8" s="9" t="n">
        <x:f>Forecast!F23</x:f>
        <x:v>386.05144673736294</x:v>
      </x:c>
      <x:c r="F8" s="9" t="n">
        <x:f>Forecast!G23</x:f>
        <x:v>422.58457932143847</x:v>
      </x:c>
      <x:c r="G8" s="9" t="n">
        <x:f>Forecast!H23</x:f>
        <x:v>462.0445409318654</x:v>
      </x:c>
      <x:c r="H8" s="9" t="n">
        <x:f>Forecast!I23</x:f>
        <x:v>504.3241237163119</x:v>
      </x:c>
      <x:c r="I8" s="4"/>
      <x:c r="J8" s="1"/>
      <x:c r="K8" s="1"/>
      <x:c r="L8" s="1"/>
    </x:row>
    <x:row r="9" ht="22" customHeight="1">
      <x:c r="A9" s="1"/>
      <x:c r="B9" s="1"/>
      <x:c r="C9" s="1" t="str">
        <x:v>Parent NI</x:v>
      </x:c>
      <x:c r="D9" s="9" t="n">
        <x:f>Forecast!E21</x:f>
        <x:v>43.7292109795672</x:v>
      </x:c>
      <x:c r="E9" s="9" t="n">
        <x:f>Forecast!F21</x:f>
        <x:v>48.71084344543409</x:v>
      </x:c>
      <x:c r="F9" s="9" t="n">
        <x:f>Forecast!G21</x:f>
        <x:v>52.61328214723598</x:v>
      </x:c>
      <x:c r="G9" s="9" t="n">
        <x:f>Forecast!H21</x:f>
        <x:v>56.372777045928665</x:v>
      </x:c>
      <x:c r="H9" s="9" t="n">
        <x:f>Forecast!I21</x:f>
        <x:v>59.89675733425342</x:v>
      </x:c>
      <x:c r="I9" s="4"/>
      <x:c r="J9" s="1"/>
      <x:c r="K9" s="1"/>
      <x:c r="L9" s="1"/>
    </x:row>
    <x:row r="10" ht="22" customHeight="1">
      <x:c r="A10" s="1"/>
      <x:c r="B10" s="1"/>
      <x:c r="C10" s="1" t="str">
        <x:v>Cost of equity</x:v>
      </x:c>
      <x:c r="D10" s="11" t="n">
        <x:f>Inputs!$D$10</x:f>
        <x:v>0.11</x:v>
      </x:c>
      <x:c r="E10" s="11" t="n">
        <x:f>Inputs!$D$10</x:f>
        <x:v>0.11</x:v>
      </x:c>
      <x:c r="F10" s="11" t="n">
        <x:f>Inputs!$D$10</x:f>
        <x:v>0.11</x:v>
      </x:c>
      <x:c r="G10" s="11" t="n">
        <x:f>Inputs!$D$10</x:f>
        <x:v>0.11</x:v>
      </x:c>
      <x:c r="H10" s="11" t="n">
        <x:f>Inputs!$D$10</x:f>
        <x:v>0.11</x:v>
      </x:c>
      <x:c r="I10" s="4"/>
      <x:c r="J10" s="1"/>
      <x:c r="K10" s="1"/>
      <x:c r="L10" s="1"/>
    </x:row>
    <x:row r="11" ht="22" customHeight="1">
      <x:c r="A11" s="1"/>
      <x:c r="B11" s="1"/>
      <x:c r="C11" s="1" t="str">
        <x:v>Equity charge</x:v>
      </x:c>
      <x:c r="D11" s="4" t="n">
        <x:f>D8*D10</x:f>
        <x:v>38.85799923529563</x:v>
      </x:c>
      <x:c r="E11" s="4" t="n">
        <x:f>E8*E10</x:f>
        <x:v>42.465659141109924</x:v>
      </x:c>
      <x:c r="F11" s="4" t="n">
        <x:f>F8*F10</x:f>
        <x:v>46.48430372535823</x:v>
      </x:c>
      <x:c r="G11" s="4" t="n">
        <x:f>G8*G10</x:f>
        <x:v>50.8248995025052</x:v>
      </x:c>
      <x:c r="H11" s="4" t="n">
        <x:f>H8*H10</x:f>
        <x:v>55.4756536087943</x:v>
      </x:c>
      <x:c r="I11" s="4"/>
      <x:c r="J11" s="1"/>
      <x:c r="K11" s="1"/>
      <x:c r="L11" s="1"/>
    </x:row>
    <x:row r="12" ht="22" customHeight="1">
      <x:c r="A12" s="1"/>
      <x:c r="B12" s="1"/>
      <x:c r="C12" s="1" t="str">
        <x:v>Residual income</x:v>
      </x:c>
      <x:c r="D12" s="4" t="n">
        <x:f>D9-D11</x:f>
        <x:v>4.871211744271569</x:v>
      </x:c>
      <x:c r="E12" s="4" t="n">
        <x:f>E9-E11</x:f>
        <x:v>6.245184304324162</x:v>
      </x:c>
      <x:c r="F12" s="4" t="n">
        <x:f>F9-F11</x:f>
        <x:v>6.128978421877747</x:v>
      </x:c>
      <x:c r="G12" s="4" t="n">
        <x:f>G9-G11</x:f>
        <x:v>5.547877543423468</x:v>
      </x:c>
      <x:c r="H12" s="4" t="n">
        <x:f>H9-H11</x:f>
        <x:v>4.421103725459119</x:v>
      </x:c>
      <x:c r="I12" s="4"/>
      <x:c r="J12" s="1"/>
      <x:c r="K12" s="1"/>
      <x:c r="L12" s="1"/>
    </x:row>
    <x:row r="13" ht="22" customHeight="1">
      <x:c r="A13" s="1"/>
      <x:c r="B13" s="1"/>
      <x:c r="C13" s="1" t="str">
        <x:v>Years</x:v>
      </x:c>
      <x:c r="D13" s="4" t="n">
        <x:v>1</x:v>
      </x:c>
      <x:c r="E13" s="4" t="n">
        <x:v>2</x:v>
      </x:c>
      <x:c r="F13" s="4" t="n">
        <x:v>3</x:v>
      </x:c>
      <x:c r="G13" s="4" t="n">
        <x:v>4</x:v>
      </x:c>
      <x:c r="H13" s="4" t="n">
        <x:v>5</x:v>
      </x:c>
      <x:c r="I13" s="4"/>
      <x:c r="J13" s="1"/>
      <x:c r="K13" s="1"/>
      <x:c r="L13" s="1"/>
    </x:row>
    <x:row r="14" ht="22" customHeight="1">
      <x:c r="A14" s="1"/>
      <x:c r="B14" s="1"/>
      <x:c r="C14" s="1" t="str">
        <x:v>PV residual income</x:v>
      </x:c>
      <x:c r="D14" s="4" t="n">
        <x:f>D12/(1+D10)^D13</x:f>
        <x:v>4.388479048893306</x:v>
      </x:c>
      <x:c r="E14" s="4" t="n">
        <x:f>E12/(1+E10)^E13</x:f>
        <x:v>5.068731681133156</x:v>
      </x:c>
      <x:c r="F14" s="4" t="n">
        <x:f>F12/(1+F10)^F13</x:f>
        <x:v>4.481456198256508</x:v>
      </x:c>
      <x:c r="G14" s="4" t="n">
        <x:f>G12/(1+G10)^G13</x:f>
        <x:v>3.654558778616511</x:v>
      </x:c>
      <x:c r="H14" s="4" t="n">
        <x:f>H12/(1+H10)^H13</x:f>
        <x:v>2.623709877358355</x:v>
      </x:c>
      <x:c r="I14" s="4"/>
      <x:c r="J14" s="1"/>
      <x:c r="K14" s="1"/>
      <x:c r="L14" s="1"/>
    </x:row>
    <x:row r="15" ht="22" customHeight="1">
      <x:c r="A15" s="1"/>
      <x:c r="B15" s="1"/>
      <x:c r="C15" s="1" t="str">
        <x:v>Ending parent book</x:v>
      </x:c>
      <x:c r="D15" s="9" t="n">
        <x:f>Forecast!E25</x:f>
        <x:v>386.05144673736294</x:v>
      </x:c>
      <x:c r="E15" s="9" t="n">
        <x:f>Forecast!F25</x:f>
        <x:v>422.58457932143847</x:v>
      </x:c>
      <x:c r="F15" s="9" t="n">
        <x:f>Forecast!G25</x:f>
        <x:v>462.0445409318654</x:v>
      </x:c>
      <x:c r="G15" s="9" t="n">
        <x:f>Forecast!H25</x:f>
        <x:v>504.3241237163119</x:v>
      </x:c>
      <x:c r="H15" s="9" t="n">
        <x:f>Forecast!I25</x:f>
        <x:v>549.2466917170019</x:v>
      </x:c>
      <x:c r="I15" s="4"/>
      <x:c r="J15" s="1"/>
      <x:c r="K15" s="1"/>
      <x:c r="L15" s="1"/>
    </x:row>
    <x:row r="16" ht="22" customHeight="1">
      <x:c r="A16" s="1"/>
      <x:c r="B16" s="1"/>
      <x:c r="C16" s="1"/>
      <x:c r="D16" s="4"/>
      <x:c r="E16" s="4"/>
      <x:c r="F16" s="4"/>
      <x:c r="G16" s="4"/>
      <x:c r="H16" s="4"/>
      <x:c r="I16" s="4"/>
      <x:c r="J16" s="1"/>
      <x:c r="K16" s="1"/>
      <x:c r="L16" s="1"/>
    </x:row>
    <x:row r="17" ht="22" customHeight="1">
      <x:c r="A17" s="1"/>
      <x:c r="B17" s="1"/>
      <x:c r="C17" s="1"/>
      <x:c r="D17" s="4"/>
      <x:c r="E17" s="4"/>
      <x:c r="F17" s="4"/>
      <x:c r="G17" s="4"/>
      <x:c r="H17" s="4"/>
      <x:c r="I17" s="4"/>
      <x:c r="J17" s="1"/>
      <x:c r="K17" s="1"/>
      <x:c r="L17" s="1"/>
    </x:row>
    <x:row r="18" ht="22" customHeight="1">
      <x:c r="A18" s="1"/>
      <x:c r="B18" s="1"/>
      <x:c r="C18" s="1" t="str">
        <x:v>2026E parent book</x:v>
      </x:c>
      <x:c r="D18" s="9" t="n">
        <x:f>'Cash Equity Bridge'!D22</x:f>
        <x:v>353.2545385026875</x:v>
      </x:c>
      <x:c r="E18" s="4"/>
      <x:c r="F18" s="4"/>
      <x:c r="G18" s="4"/>
      <x:c r="H18" s="4"/>
      <x:c r="I18" s="4"/>
      <x:c r="J18" s="1"/>
      <x:c r="K18" s="1"/>
      <x:c r="L18" s="1"/>
    </x:row>
    <x:row r="19" ht="22" customHeight="1">
      <x:c r="A19" s="1"/>
      <x:c r="B19" s="1"/>
      <x:c r="C19" s="1" t="str">
        <x:v>PV explicit RI</x:v>
      </x:c>
      <x:c r="D19" s="4" t="n">
        <x:f>SUM(D14:H14)</x:f>
        <x:v>20.216935584257833</x:v>
      </x:c>
      <x:c r="E19" s="4"/>
      <x:c r="F19" s="4"/>
      <x:c r="G19" s="4"/>
      <x:c r="H19" s="4"/>
      <x:c r="I19" s="4"/>
      <x:c r="J19" s="1"/>
      <x:c r="K19" s="1"/>
      <x:c r="L19" s="1"/>
    </x:row>
    <x:row r="20" ht="22" customHeight="1">
      <x:c r="A20" s="1"/>
      <x:c r="B20" s="1"/>
      <x:c r="C20" s="1" t="str">
        <x:v>2032 residual income</x:v>
      </x:c>
      <x:c r="D20" s="9" t="n">
        <x:f>(Inputs!$D$13-Inputs!$D$10)*Forecast!I25</x:f>
        <x:v>5.492466917170017</x:v>
      </x:c>
      <x:c r="E20" s="4"/>
      <x:c r="F20" s="4"/>
      <x:c r="G20" s="4"/>
      <x:c r="H20" s="4"/>
      <x:c r="I20" s="4"/>
      <x:c r="J20" s="1"/>
      <x:c r="K20" s="1"/>
      <x:c r="L20" s="1"/>
    </x:row>
    <x:row r="21" ht="22" customHeight="1">
      <x:c r="A21" s="1"/>
      <x:c r="B21" s="1"/>
      <x:c r="C21" s="1" t="str">
        <x:v>PV terminal RI</x:v>
      </x:c>
      <x:c r="D21" s="9" t="n">
        <x:f>D20/(Inputs!$D$10-Inputs!$D$11)/(1+Inputs!$D$10)^5</x:f>
        <x:v>36.21679762569159</x:v>
      </x:c>
      <x:c r="E21" s="4"/>
      <x:c r="F21" s="4"/>
      <x:c r="G21" s="4"/>
      <x:c r="H21" s="4"/>
      <x:c r="I21" s="4"/>
      <x:c r="J21" s="1"/>
      <x:c r="K21" s="1"/>
      <x:c r="L21" s="1"/>
    </x:row>
    <x:row r="22" ht="22" customHeight="1">
      <x:c r="A22" s="1"/>
      <x:c r="B22" s="1"/>
      <x:c r="C22" s="1" t="str">
        <x:v>Parent equity value</x:v>
      </x:c>
      <x:c r="D22" s="4" t="n">
        <x:f>D18+D19+D21</x:f>
        <x:v>409.68827171263695</x:v>
      </x:c>
      <x:c r="E22" s="4"/>
      <x:c r="F22" s="4"/>
      <x:c r="G22" s="4"/>
      <x:c r="H22" s="4"/>
      <x:c r="I22" s="4"/>
      <x:c r="J22" s="1"/>
      <x:c r="K22" s="1"/>
      <x:c r="L22" s="1"/>
    </x:row>
    <x:row r="23" ht="22" customHeight="1">
      <x:c r="A23" s="1"/>
      <x:c r="B23" s="1"/>
      <x:c r="C23" s="1" t="str">
        <x:v>Shares million</x:v>
      </x:c>
      <x:c r="D23" s="9" t="n">
        <x:f>'Cash Equity Bridge'!D23</x:f>
        <x:v>21.07575</x:v>
      </x:c>
      <x:c r="E23" s="4"/>
      <x:c r="F23" s="4"/>
      <x:c r="G23" s="4"/>
      <x:c r="H23" s="4"/>
      <x:c r="I23" s="4"/>
      <x:c r="J23" s="1"/>
      <x:c r="K23" s="1"/>
      <x:c r="L23" s="1"/>
    </x:row>
    <x:row r="24" ht="22" customHeight="1">
      <x:c r="A24" s="1"/>
      <x:c r="B24" s="1"/>
      <x:c r="C24" s="1" t="str">
        <x:v>RIM KRW/share</x:v>
      </x:c>
      <x:c r="D24" s="4" t="n">
        <x:f>D22*1000/D23</x:f>
        <x:v>19438.846622902478</x:v>
      </x:c>
      <x:c r="E24" s="4"/>
      <x:c r="F24" s="4"/>
      <x:c r="G24" s="4"/>
      <x:c r="H24" s="4"/>
      <x:c r="I24" s="4"/>
      <x:c r="J24" s="1"/>
      <x:c r="K24" s="1"/>
      <x:c r="L24" s="1"/>
    </x:row>
    <x:row r="25" ht="22" customHeight="1">
      <x:c r="A25" s="1"/>
      <x:c r="B25" s="1"/>
      <x:c r="C25" s="1" t="str">
        <x:v>DDM identity difference</x:v>
      </x:c>
      <x:c r="D25" s="10" t="n">
        <x:f>D22-(Forecast!E24/(1+Inputs!$D$10)+Forecast!F24/(1+Inputs!$D$10)^2+Forecast!G24/(1+Inputs!$D$10)^3+Forecast!H24/(1+Inputs!$D$10)^4+Forecast!I24/(1+Inputs!$D$10)^5+(Forecast!I25+D20/(Inputs!$D$10-Inputs!$D$11))/(1+Inputs!$D$10)^5)</x:f>
        <x:v>2.2737367544323206e-13</x:v>
      </x:c>
      <x:c r="E25" s="4"/>
      <x:c r="F25" s="4"/>
      <x:c r="G25" s="4"/>
      <x:c r="H25" s="4"/>
      <x:c r="I25" s="4"/>
      <x:c r="J25" s="1"/>
      <x:c r="K25" s="1"/>
      <x:c r="L25" s="1"/>
    </x:row>
    <x:row r="26" ht="22" customHeight="1">
      <x:c r="A26" s="1"/>
      <x:c r="B26" s="1"/>
      <x:c r="C26" s="1"/>
      <x:c r="D26" s="4"/>
      <x:c r="E26" s="4"/>
      <x:c r="F26" s="4"/>
      <x:c r="G26" s="4"/>
      <x:c r="H26" s="4"/>
      <x:c r="I26" s="4"/>
      <x:c r="J26" s="1"/>
      <x:c r="K26" s="1"/>
      <x:c r="L26" s="1"/>
    </x:row>
    <x:row r="27" ht="22" customHeight="1">
      <x:c r="A27" s="1"/>
      <x:c r="B27" s="1"/>
      <x:c r="C27" s="1"/>
      <x:c r="D27" s="4"/>
      <x:c r="E27" s="4"/>
      <x:c r="F27" s="4"/>
      <x:c r="G27" s="4"/>
      <x:c r="H27" s="4"/>
      <x:c r="I27" s="4"/>
      <x:c r="J27" s="1"/>
      <x:c r="K27" s="1"/>
      <x:c r="L27" s="1"/>
    </x:row>
    <x:row r="28" ht="22" customHeight="1">
      <x:c r="A28" s="1"/>
      <x:c r="B28" s="1"/>
      <x:c r="C28" s="1"/>
      <x:c r="D28" s="4"/>
      <x:c r="E28" s="4"/>
      <x:c r="F28" s="4"/>
      <x:c r="G28" s="4"/>
      <x:c r="H28" s="4"/>
      <x:c r="I28" s="4"/>
      <x:c r="J28" s="1"/>
      <x:c r="K28" s="1"/>
      <x:c r="L28" s="1"/>
    </x:row>
    <x:row r="29" ht="22" customHeight="1">
      <x:c r="A29" s="1"/>
      <x:c r="B29" s="1"/>
      <x:c r="C29" s="1"/>
      <x:c r="D29" s="4"/>
      <x:c r="E29" s="4"/>
      <x:c r="F29" s="4"/>
      <x:c r="G29" s="4"/>
      <x:c r="H29" s="4"/>
      <x:c r="I29" s="4"/>
      <x:c r="J29" s="1"/>
      <x:c r="K29" s="1"/>
      <x:c r="L29" s="1"/>
    </x:row>
    <x:row r="30" ht="22" customHeight="1">
      <x:c r="A30" s="1"/>
      <x:c r="B30" s="1"/>
      <x:c r="C30" s="1"/>
      <x:c r="D30" s="4"/>
      <x:c r="E30" s="4"/>
      <x:c r="F30" s="4"/>
      <x:c r="G30" s="4"/>
      <x:c r="H30" s="4"/>
      <x:c r="I30" s="4"/>
      <x:c r="J30" s="1"/>
      <x:c r="K30" s="1"/>
      <x:c r="L30" s="1"/>
    </x:row>
    <x:row r="31" ht="22" customHeight="1">
      <x:c r="A31" s="1"/>
      <x:c r="B31" s="1"/>
      <x:c r="C31" s="1"/>
      <x:c r="D31" s="4"/>
      <x:c r="E31" s="4"/>
      <x:c r="F31" s="4"/>
      <x:c r="G31" s="4"/>
      <x:c r="H31" s="4"/>
      <x:c r="I31" s="4"/>
      <x:c r="J31" s="1"/>
      <x:c r="K31" s="1"/>
      <x:c r="L31" s="1"/>
    </x:row>
    <x:row r="32" ht="22" customHeight="1">
      <x:c r="A32" s="1"/>
      <x:c r="B32" s="1"/>
      <x:c r="C32" s="1"/>
      <x:c r="D32" s="4"/>
      <x:c r="E32" s="4"/>
      <x:c r="F32" s="4"/>
      <x:c r="G32" s="4"/>
      <x:c r="H32" s="4"/>
      <x:c r="I32" s="4"/>
      <x:c r="J32" s="1"/>
      <x:c r="K32" s="1"/>
      <x:c r="L32" s="1"/>
    </x:row>
    <x:row r="33" ht="22" customHeight="1">
      <x:c r="A33" s="1"/>
      <x:c r="B33" s="1"/>
      <x:c r="C33" s="1"/>
      <x:c r="D33" s="4"/>
      <x:c r="E33" s="4"/>
      <x:c r="F33" s="4"/>
      <x:c r="G33" s="4"/>
      <x:c r="H33" s="4"/>
      <x:c r="I33" s="4"/>
      <x:c r="J33" s="1"/>
      <x:c r="K33" s="1"/>
      <x:c r="L33" s="1"/>
    </x:row>
    <x:row r="34" ht="22" customHeight="1">
      <x:c r="A34" s="1"/>
      <x:c r="B34" s="1"/>
      <x:c r="C34" s="1"/>
      <x:c r="D34" s="4"/>
      <x:c r="E34" s="4"/>
      <x:c r="F34" s="4"/>
      <x:c r="G34" s="4"/>
      <x:c r="H34" s="4"/>
      <x:c r="I34" s="4"/>
      <x:c r="J34" s="1"/>
      <x:c r="K34" s="1"/>
      <x:c r="L34" s="1"/>
    </x:row>
    <x:row r="35" ht="22" customHeight="1">
      <x:c r="A35" s="1"/>
      <x:c r="B35" s="1"/>
      <x:c r="C35" s="1"/>
      <x:c r="D35" s="4"/>
      <x:c r="E35" s="4"/>
      <x:c r="F35" s="4"/>
      <x:c r="G35" s="4"/>
      <x:c r="H35" s="4"/>
      <x:c r="I35" s="4"/>
      <x:c r="J35" s="1"/>
      <x:c r="K35" s="1"/>
      <x:c r="L35" s="1"/>
    </x:row>
    <x:row r="36" ht="22" customHeight="1">
      <x:c r="A36" s="1"/>
      <x:c r="B36" s="1"/>
      <x:c r="C36" s="1"/>
      <x:c r="D36" s="4"/>
      <x:c r="E36" s="4"/>
      <x:c r="F36" s="4"/>
      <x:c r="G36" s="4"/>
      <x:c r="H36" s="4"/>
      <x:c r="I36" s="4"/>
      <x:c r="J36" s="1"/>
      <x:c r="K36" s="1"/>
      <x:c r="L36" s="1"/>
    </x:row>
    <x:row r="37" ht="22" customHeight="1">
      <x:c r="A37" s="1"/>
      <x:c r="B37" s="1"/>
      <x:c r="C37" s="1"/>
      <x:c r="D37" s="4"/>
      <x:c r="E37" s="4"/>
      <x:c r="F37" s="4"/>
      <x:c r="G37" s="4"/>
      <x:c r="H37" s="4"/>
      <x:c r="I37" s="4"/>
      <x:c r="J37" s="1"/>
      <x:c r="K37" s="1"/>
      <x:c r="L37" s="1"/>
    </x:row>
    <x:row r="38" ht="22" customHeight="1">
      <x:c r="A38" s="1"/>
      <x:c r="B38" s="1"/>
      <x:c r="C38" s="1"/>
      <x:c r="D38" s="4"/>
      <x:c r="E38" s="4"/>
      <x:c r="F38" s="4"/>
      <x:c r="G38" s="4"/>
      <x:c r="H38" s="4"/>
      <x:c r="I38" s="4"/>
      <x:c r="J38" s="1"/>
      <x:c r="K38" s="1"/>
      <x:c r="L38" s="1"/>
    </x:row>
    <x:row r="39" ht="22" customHeight="1">
      <x:c r="A39" s="1"/>
      <x:c r="B39" s="1"/>
      <x:c r="C39" s="1"/>
      <x:c r="D39" s="4"/>
      <x:c r="E39" s="4"/>
      <x:c r="F39" s="4"/>
      <x:c r="G39" s="4"/>
      <x:c r="H39" s="4"/>
      <x:c r="I39" s="4"/>
      <x:c r="J39" s="1"/>
      <x:c r="K39" s="1"/>
      <x:c r="L39" s="1"/>
    </x:row>
    <x:row r="40" ht="22" customHeight="1">
      <x:c r="A40" s="1"/>
      <x:c r="B40" s="1"/>
      <x:c r="C40" s="1"/>
      <x:c r="D40" s="4"/>
      <x:c r="E40" s="4"/>
      <x:c r="F40" s="4"/>
      <x:c r="G40" s="4"/>
      <x:c r="H40" s="4"/>
      <x:c r="I40" s="4"/>
      <x:c r="J40" s="1"/>
      <x:c r="K40" s="1"/>
      <x:c r="L40" s="1"/>
    </x:row>
    <x:row r="41" ht="22" customHeight="1">
      <x:c r="A41" s="1"/>
      <x:c r="B41" s="1"/>
      <x:c r="C41" s="1"/>
      <x:c r="D41" s="4"/>
      <x:c r="E41" s="4"/>
      <x:c r="F41" s="4"/>
      <x:c r="G41" s="4"/>
      <x:c r="H41" s="4"/>
      <x:c r="I41" s="4"/>
      <x:c r="J41" s="1"/>
      <x:c r="K41" s="1"/>
      <x:c r="L41" s="1"/>
    </x:row>
    <x:row r="42" ht="22" customHeight="1">
      <x:c r="A42" s="1"/>
      <x:c r="B42" s="1"/>
      <x:c r="C42" s="1"/>
      <x:c r="D42" s="4"/>
      <x:c r="E42" s="4"/>
      <x:c r="F42" s="4"/>
      <x:c r="G42" s="4"/>
      <x:c r="H42" s="4"/>
      <x:c r="I42" s="4"/>
      <x:c r="J42" s="1"/>
      <x:c r="K42" s="1"/>
      <x:c r="L42" s="1"/>
    </x:row>
    <x:row r="43" ht="22" customHeight="1">
      <x:c r="A43" s="1"/>
      <x:c r="B43" s="1"/>
      <x:c r="C43" s="1"/>
      <x:c r="D43" s="4"/>
      <x:c r="E43" s="4"/>
      <x:c r="F43" s="4"/>
      <x:c r="G43" s="4"/>
      <x:c r="H43" s="4"/>
      <x:c r="I43" s="4"/>
      <x:c r="J43" s="1"/>
      <x:c r="K43" s="1"/>
      <x:c r="L43" s="1"/>
    </x:row>
    <x:row r="44" ht="22" customHeight="1">
      <x:c r="A44" s="1"/>
      <x:c r="B44" s="1"/>
      <x:c r="C44" s="1"/>
      <x:c r="D44" s="4"/>
      <x:c r="E44" s="4"/>
      <x:c r="F44" s="4"/>
      <x:c r="G44" s="4"/>
      <x:c r="H44" s="4"/>
      <x:c r="I44" s="4"/>
      <x:c r="J44" s="1"/>
      <x:c r="K44" s="1"/>
      <x:c r="L44" s="1"/>
    </x:row>
    <x:row r="45" ht="22" customHeight="1">
      <x:c r="A45" s="1"/>
      <x:c r="B45" s="1"/>
      <x:c r="C45" s="1"/>
      <x:c r="D45" s="4"/>
      <x:c r="E45" s="4"/>
      <x:c r="F45" s="4"/>
      <x:c r="G45" s="4"/>
      <x:c r="H45" s="4"/>
      <x:c r="I45" s="4"/>
      <x:c r="J45" s="1"/>
      <x:c r="K45" s="1"/>
      <x:c r="L45" s="1"/>
    </x:row>
    <x:row r="46" ht="22" customHeight="1">
      <x:c r="A46" s="1"/>
      <x:c r="B46" s="1"/>
      <x:c r="C46" s="1"/>
      <x:c r="D46" s="4"/>
      <x:c r="E46" s="4"/>
      <x:c r="F46" s="4"/>
      <x:c r="G46" s="4"/>
      <x:c r="H46" s="4"/>
      <x:c r="I46" s="4"/>
      <x:c r="J46" s="1"/>
      <x:c r="K46" s="1"/>
      <x:c r="L46" s="1"/>
    </x:row>
    <x:row r="47" ht="22" customHeight="1">
      <x:c r="A47" s="1"/>
      <x:c r="B47" s="1"/>
      <x:c r="C47" s="1"/>
      <x:c r="D47" s="4"/>
      <x:c r="E47" s="4"/>
      <x:c r="F47" s="4"/>
      <x:c r="G47" s="4"/>
      <x:c r="H47" s="4"/>
      <x:c r="I47" s="4"/>
      <x:c r="J47" s="1"/>
      <x:c r="K47" s="1"/>
      <x:c r="L47" s="1"/>
    </x:row>
    <x:row r="48" ht="22" customHeight="1">
      <x:c r="A48" s="1"/>
      <x:c r="B48" s="1"/>
      <x:c r="C48" s="1"/>
      <x:c r="D48" s="4"/>
      <x:c r="E48" s="4"/>
      <x:c r="F48" s="4"/>
      <x:c r="G48" s="4"/>
      <x:c r="H48" s="4"/>
      <x:c r="I48" s="4"/>
      <x:c r="J48" s="1"/>
      <x:c r="K48" s="1"/>
      <x:c r="L48" s="1"/>
    </x:row>
    <x:row r="49" ht="22" customHeight="1">
      <x:c r="A49" s="1"/>
      <x:c r="B49" s="1"/>
      <x:c r="C49" s="1"/>
      <x:c r="D49" s="4"/>
      <x:c r="E49" s="4"/>
      <x:c r="F49" s="4"/>
      <x:c r="G49" s="4"/>
      <x:c r="H49" s="4"/>
      <x:c r="I49" s="4"/>
      <x:c r="J49" s="1"/>
      <x:c r="K49" s="1"/>
      <x:c r="L49" s="1"/>
    </x:row>
    <x:row r="50" ht="22" customHeight="1">
      <x:c r="A50" s="1"/>
      <x:c r="B50" s="1"/>
      <x:c r="C50" s="1"/>
      <x:c r="D50" s="4"/>
      <x:c r="E50" s="4"/>
      <x:c r="F50" s="4"/>
      <x:c r="G50" s="4"/>
      <x:c r="H50" s="4"/>
      <x:c r="I50" s="4"/>
      <x:c r="J50" s="1"/>
      <x:c r="K50" s="1"/>
      <x:c r="L50" s="1"/>
    </x:row>
    <x:row r="51" ht="22" customHeight="1">
      <x:c r="A51" s="1"/>
      <x:c r="B51" s="1"/>
      <x:c r="C51" s="1"/>
      <x:c r="D51" s="4"/>
      <x:c r="E51" s="4"/>
      <x:c r="F51" s="4"/>
      <x:c r="G51" s="4"/>
      <x:c r="H51" s="4"/>
      <x:c r="I51" s="4"/>
      <x:c r="J51" s="1"/>
      <x:c r="K51" s="1"/>
      <x:c r="L51" s="1"/>
    </x:row>
    <x:row r="52" ht="22" customHeight="1">
      <x:c r="A52" s="1"/>
      <x:c r="B52" s="1"/>
      <x:c r="C52" s="1"/>
      <x:c r="D52" s="4"/>
      <x:c r="E52" s="4"/>
      <x:c r="F52" s="4"/>
      <x:c r="G52" s="4"/>
      <x:c r="H52" s="4"/>
      <x:c r="I52" s="4"/>
      <x:c r="J52" s="1"/>
      <x:c r="K52" s="1"/>
      <x:c r="L52" s="1"/>
    </x:row>
    <x:row r="53" ht="22" customHeight="1">
      <x:c r="A53" s="1"/>
      <x:c r="B53" s="1"/>
      <x:c r="C53" s="1"/>
      <x:c r="D53" s="4"/>
      <x:c r="E53" s="4"/>
      <x:c r="F53" s="4"/>
      <x:c r="G53" s="4"/>
      <x:c r="H53" s="4"/>
      <x:c r="I53" s="4"/>
      <x:c r="J53" s="1"/>
      <x:c r="K53" s="1"/>
      <x:c r="L53" s="1"/>
    </x:row>
    <x:row r="54" ht="22" customHeight="1">
      <x:c r="A54" s="1"/>
      <x:c r="B54" s="1"/>
      <x:c r="C54" s="1"/>
      <x:c r="D54" s="4"/>
      <x:c r="E54" s="4"/>
      <x:c r="F54" s="4"/>
      <x:c r="G54" s="4"/>
      <x:c r="H54" s="4"/>
      <x:c r="I54" s="4"/>
      <x:c r="J54" s="1"/>
      <x:c r="K54" s="1"/>
      <x:c r="L54" s="1"/>
    </x:row>
    <x:row r="55" ht="22" customHeight="1">
      <x:c r="A55" s="1"/>
      <x:c r="B55" s="1"/>
      <x:c r="C55" s="1"/>
      <x:c r="D55" s="4"/>
      <x:c r="E55" s="4"/>
      <x:c r="F55" s="4"/>
      <x:c r="G55" s="4"/>
      <x:c r="H55" s="4"/>
      <x:c r="I55" s="4"/>
      <x:c r="J55" s="1"/>
      <x:c r="K55" s="1"/>
      <x:c r="L55" s="1"/>
    </x:row>
    <x:row r="56" ht="22" customHeight="1">
      <x:c r="A56" s="1"/>
      <x:c r="B56" s="1"/>
      <x:c r="C56" s="1"/>
      <x:c r="D56" s="4"/>
      <x:c r="E56" s="4"/>
      <x:c r="F56" s="4"/>
      <x:c r="G56" s="4"/>
      <x:c r="H56" s="4"/>
      <x:c r="I56" s="4"/>
      <x:c r="J56" s="1"/>
      <x:c r="K56" s="1"/>
      <x:c r="L56" s="1"/>
    </x:row>
    <x:row r="57" ht="22" customHeight="1">
      <x:c r="A57" s="1"/>
      <x:c r="B57" s="1"/>
      <x:c r="C57" s="1"/>
      <x:c r="D57" s="4"/>
      <x:c r="E57" s="4"/>
      <x:c r="F57" s="4"/>
      <x:c r="G57" s="4"/>
      <x:c r="H57" s="4"/>
      <x:c r="I57" s="4"/>
      <x:c r="J57" s="1"/>
      <x:c r="K57" s="1"/>
      <x:c r="L57" s="1"/>
    </x:row>
    <x:row r="58" ht="22" customHeight="1">
      <x:c r="A58" s="1"/>
      <x:c r="B58" s="1"/>
      <x:c r="C58" s="1"/>
      <x:c r="D58" s="4"/>
      <x:c r="E58" s="4"/>
      <x:c r="F58" s="4"/>
      <x:c r="G58" s="4"/>
      <x:c r="H58" s="4"/>
      <x:c r="I58" s="4"/>
      <x:c r="J58" s="1"/>
      <x:c r="K58" s="1"/>
      <x:c r="L58" s="1"/>
    </x:row>
    <x:row r="59" ht="22" customHeight="1">
      <x:c r="A59" s="1"/>
      <x:c r="B59" s="1"/>
      <x:c r="C59" s="1"/>
      <x:c r="D59" s="4"/>
      <x:c r="E59" s="4"/>
      <x:c r="F59" s="4"/>
      <x:c r="G59" s="4"/>
      <x:c r="H59" s="4"/>
      <x:c r="I59" s="4"/>
      <x:c r="J59" s="1"/>
      <x:c r="K59" s="1"/>
      <x:c r="L59" s="1"/>
    </x:row>
    <x:row r="60" ht="22" customHeight="1">
      <x:c r="A60" s="1"/>
      <x:c r="B60" s="1"/>
      <x:c r="C60" s="1"/>
      <x:c r="D60" s="4"/>
      <x:c r="E60" s="4"/>
      <x:c r="F60" s="4"/>
      <x:c r="G60" s="4"/>
      <x:c r="H60" s="4"/>
      <x:c r="I60" s="4"/>
      <x:c r="J60" s="1"/>
      <x:c r="K60" s="1"/>
      <x:c r="L60" s="1"/>
    </x:row>
    <x:row r="61" ht="22" customHeight="1">
      <x:c r="A61" s="1"/>
      <x:c r="B61" s="1"/>
      <x:c r="C61" s="1"/>
      <x:c r="D61" s="4"/>
      <x:c r="E61" s="4"/>
      <x:c r="F61" s="4"/>
      <x:c r="G61" s="4"/>
      <x:c r="H61" s="4"/>
      <x:c r="I61" s="4"/>
      <x:c r="J61" s="1"/>
      <x:c r="K61" s="1"/>
      <x:c r="L61" s="1"/>
    </x:row>
    <x:row r="62" ht="22" customHeight="1">
      <x:c r="A62" s="1"/>
      <x:c r="B62" s="1"/>
      <x:c r="C62" s="1"/>
      <x:c r="D62" s="4"/>
      <x:c r="E62" s="4"/>
      <x:c r="F62" s="4"/>
      <x:c r="G62" s="4"/>
      <x:c r="H62" s="4"/>
      <x:c r="I62" s="4"/>
      <x:c r="J62" s="1"/>
      <x:c r="K62" s="1"/>
      <x:c r="L62" s="1"/>
    </x:row>
    <x:row r="63" ht="22" customHeight="1">
      <x:c r="A63" s="1"/>
      <x:c r="B63" s="1"/>
      <x:c r="C63" s="1"/>
      <x:c r="D63" s="4"/>
      <x:c r="E63" s="4"/>
      <x:c r="F63" s="4"/>
      <x:c r="G63" s="4"/>
      <x:c r="H63" s="4"/>
      <x:c r="I63" s="4"/>
      <x:c r="J63" s="1"/>
      <x:c r="K63" s="1"/>
      <x:c r="L63" s="1"/>
    </x:row>
    <x:row r="64" ht="22" customHeight="1">
      <x:c r="A64" s="1"/>
      <x:c r="B64" s="1"/>
      <x:c r="C64" s="1"/>
      <x:c r="D64" s="4"/>
      <x:c r="E64" s="4"/>
      <x:c r="F64" s="4"/>
      <x:c r="G64" s="4"/>
      <x:c r="H64" s="4"/>
      <x:c r="I64" s="4"/>
      <x:c r="J64" s="1"/>
      <x:c r="K64" s="1"/>
      <x:c r="L64" s="1"/>
    </x:row>
    <x:row r="65" ht="22" customHeight="1">
      <x:c r="A65" s="1"/>
      <x:c r="B65" s="1"/>
      <x:c r="C65" s="1"/>
      <x:c r="D65" s="4"/>
      <x:c r="E65" s="4"/>
      <x:c r="F65" s="4"/>
      <x:c r="G65" s="4"/>
      <x:c r="H65" s="4"/>
      <x:c r="I65" s="4"/>
      <x:c r="J65" s="1"/>
      <x:c r="K65" s="1"/>
      <x:c r="L65" s="1"/>
    </x:row>
    <x:row r="66" ht="22" customHeight="1">
      <x:c r="A66" s="1"/>
      <x:c r="B66" s="1"/>
      <x:c r="C66" s="1"/>
      <x:c r="D66" s="4"/>
      <x:c r="E66" s="4"/>
      <x:c r="F66" s="4"/>
      <x:c r="G66" s="4"/>
      <x:c r="H66" s="4"/>
      <x:c r="I66" s="4"/>
      <x:c r="J66" s="1"/>
      <x:c r="K66" s="1"/>
      <x:c r="L66" s="1"/>
    </x:row>
    <x:row r="67" ht="22" customHeight="1">
      <x:c r="A67" s="1"/>
      <x:c r="B67" s="1"/>
      <x:c r="C67" s="1"/>
      <x:c r="D67" s="4"/>
      <x:c r="E67" s="4"/>
      <x:c r="F67" s="4"/>
      <x:c r="G67" s="4"/>
      <x:c r="H67" s="4"/>
      <x:c r="I67" s="4"/>
      <x:c r="J67" s="1"/>
      <x:c r="K67" s="1"/>
      <x:c r="L67" s="1"/>
    </x:row>
    <x:row r="68" ht="22" customHeight="1">
      <x:c r="A68" s="1"/>
      <x:c r="B68" s="1"/>
      <x:c r="C68" s="1"/>
      <x:c r="D68" s="4"/>
      <x:c r="E68" s="4"/>
      <x:c r="F68" s="4"/>
      <x:c r="G68" s="4"/>
      <x:c r="H68" s="4"/>
      <x:c r="I68" s="4"/>
      <x:c r="J68" s="1"/>
      <x:c r="K68" s="1"/>
      <x:c r="L68" s="1"/>
    </x:row>
    <x:row r="69" ht="22" customHeight="1">
      <x:c r="A69" s="1"/>
      <x:c r="B69" s="1"/>
      <x:c r="C69" s="1"/>
      <x:c r="D69" s="4"/>
      <x:c r="E69" s="4"/>
      <x:c r="F69" s="4"/>
      <x:c r="G69" s="4"/>
      <x:c r="H69" s="4"/>
      <x:c r="I69" s="4"/>
      <x:c r="J69" s="1"/>
      <x:c r="K69" s="1"/>
      <x:c r="L69" s="1"/>
    </x:row>
    <x:row r="70" ht="22" customHeight="1">
      <x:c r="A70" s="1"/>
      <x:c r="B70" s="1"/>
      <x:c r="C70" s="1"/>
      <x:c r="D70" s="4"/>
      <x:c r="E70" s="4"/>
      <x:c r="F70" s="4"/>
      <x:c r="G70" s="4"/>
      <x:c r="H70" s="4"/>
      <x:c r="I70" s="4"/>
      <x:c r="J70" s="1"/>
      <x:c r="K70" s="1"/>
      <x:c r="L70" s="1"/>
    </x:row>
    <x:row r="71" ht="22" customHeight="1">
      <x:c r="A71" s="1"/>
      <x:c r="B71" s="1"/>
      <x:c r="C71" s="1"/>
      <x:c r="D71" s="4"/>
      <x:c r="E71" s="4"/>
      <x:c r="F71" s="4"/>
      <x:c r="G71" s="4"/>
      <x:c r="H71" s="4"/>
      <x:c r="I71" s="4"/>
      <x:c r="J71" s="1"/>
      <x:c r="K71" s="1"/>
      <x:c r="L71" s="1"/>
    </x:row>
    <x:row r="72" ht="22" customHeight="1">
      <x:c r="A72" s="1"/>
      <x:c r="B72" s="1"/>
      <x:c r="C72" s="1"/>
      <x:c r="D72" s="4"/>
      <x:c r="E72" s="4"/>
      <x:c r="F72" s="4"/>
      <x:c r="G72" s="4"/>
      <x:c r="H72" s="4"/>
      <x:c r="I72" s="4"/>
      <x:c r="J72" s="1"/>
      <x:c r="K72" s="1"/>
      <x:c r="L72" s="1"/>
    </x:row>
    <x:row r="73" ht="22" customHeight="1">
      <x:c r="A73" s="1"/>
      <x:c r="B73" s="1"/>
      <x:c r="C73" s="1"/>
      <x:c r="D73" s="4"/>
      <x:c r="E73" s="4"/>
      <x:c r="F73" s="4"/>
      <x:c r="G73" s="4"/>
      <x:c r="H73" s="4"/>
      <x:c r="I73" s="4"/>
      <x:c r="J73" s="1"/>
      <x:c r="K73" s="1"/>
      <x:c r="L73" s="1"/>
    </x:row>
    <x:row r="74" ht="22" customHeight="1">
      <x:c r="A74" s="1"/>
      <x:c r="B74" s="1"/>
      <x:c r="C74" s="1"/>
      <x:c r="D74" s="4"/>
      <x:c r="E74" s="4"/>
      <x:c r="F74" s="4"/>
      <x:c r="G74" s="4"/>
      <x:c r="H74" s="4"/>
      <x:c r="I74" s="4"/>
      <x:c r="J74" s="1"/>
      <x:c r="K74" s="1"/>
      <x:c r="L74" s="1"/>
    </x:row>
    <x:row r="75" ht="22" customHeight="1">
      <x:c r="A75" s="1"/>
      <x:c r="B75" s="1"/>
      <x:c r="C75" s="1"/>
      <x:c r="D75" s="4"/>
      <x:c r="E75" s="4"/>
      <x:c r="F75" s="4"/>
      <x:c r="G75" s="4"/>
      <x:c r="H75" s="4"/>
      <x:c r="I75" s="4"/>
      <x:c r="J75" s="1"/>
      <x:c r="K75" s="1"/>
      <x:c r="L75" s="1"/>
    </x:row>
    <x:row r="76" ht="22" customHeight="1">
      <x:c r="A76" s="1"/>
      <x:c r="B76" s="1"/>
      <x:c r="C76" s="1"/>
      <x:c r="D76" s="4"/>
      <x:c r="E76" s="4"/>
      <x:c r="F76" s="4"/>
      <x:c r="G76" s="4"/>
      <x:c r="H76" s="4"/>
      <x:c r="I76" s="4"/>
      <x:c r="J76" s="1"/>
      <x:c r="K76" s="1"/>
      <x:c r="L76" s="1"/>
    </x:row>
    <x:row r="77" ht="22" customHeight="1">
      <x:c r="A77" s="1"/>
      <x:c r="B77" s="1"/>
      <x:c r="C77" s="1"/>
      <x:c r="D77" s="4"/>
      <x:c r="E77" s="4"/>
      <x:c r="F77" s="4"/>
      <x:c r="G77" s="4"/>
      <x:c r="H77" s="4"/>
      <x:c r="I77" s="4"/>
      <x:c r="J77" s="1"/>
      <x:c r="K77" s="1"/>
      <x:c r="L77" s="1"/>
    </x:row>
    <x:row r="78" ht="22" customHeight="1">
      <x:c r="A78" s="1"/>
      <x:c r="B78" s="1"/>
      <x:c r="C78" s="1"/>
      <x:c r="D78" s="4"/>
      <x:c r="E78" s="4"/>
      <x:c r="F78" s="4"/>
      <x:c r="G78" s="4"/>
      <x:c r="H78" s="4"/>
      <x:c r="I78" s="4"/>
      <x:c r="J78" s="1"/>
      <x:c r="K78" s="1"/>
      <x:c r="L78" s="1"/>
    </x:row>
    <x:row r="79" ht="22" customHeight="1">
      <x:c r="A79" s="1"/>
      <x:c r="B79" s="1"/>
      <x:c r="C79" s="1"/>
      <x:c r="D79" s="4"/>
      <x:c r="E79" s="4"/>
      <x:c r="F79" s="4"/>
      <x:c r="G79" s="4"/>
      <x:c r="H79" s="4"/>
      <x:c r="I79" s="4"/>
      <x:c r="J79" s="1"/>
      <x:c r="K79" s="1"/>
      <x:c r="L79" s="1"/>
    </x:row>
    <x:row r="80" ht="22" customHeight="1">
      <x:c r="A80" s="1"/>
      <x:c r="B80" s="1"/>
      <x:c r="C80" s="1"/>
      <x:c r="D80" s="4"/>
      <x:c r="E80" s="4"/>
      <x:c r="F80" s="4"/>
      <x:c r="G80" s="4"/>
      <x:c r="H80" s="4"/>
      <x:c r="I80" s="4"/>
      <x:c r="J80" s="1"/>
      <x:c r="K80" s="1"/>
      <x:c r="L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6" hidden="0" customWidth="1"/>
    <x:col min="11" max="11" width="26" hidden="0" customWidth="1"/>
    <x:col min="12" max="12" width="2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PER</x:v>
      </x:c>
      <x:c r="D2" s="2"/>
      <x:c r="E2" s="2"/>
      <x:c r="F2" s="2"/>
      <x:c r="G2" s="2"/>
      <x:c r="H2" s="2"/>
      <x:c r="I2" s="2"/>
      <x:c r="J2" s="1"/>
      <x:c r="K2" s="1"/>
      <x:c r="L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 t="str">
        <x:v>Case selected</x:v>
      </x:c>
      <x:c r="D4" s="3" t="str">
        <x:f>Inputs!D3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</x:row>
    <x:row r="7" ht="22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</x:row>
    <x:row r="8" ht="22" customHeight="1">
      <x:c r="A8" s="1"/>
      <x:c r="B8" s="1"/>
      <x:c r="C8" s="1" t="str">
        <x:v>2027 revenue</x:v>
      </x:c>
      <x:c r="D8" s="9" t="n">
        <x:f>Forecast!E8</x:f>
        <x:v>284.25600000000003</x:v>
      </x:c>
      <x:c r="E8" s="4"/>
      <x:c r="F8" s="4"/>
      <x:c r="G8" s="4"/>
      <x:c r="H8" s="4"/>
      <x:c r="I8" s="4"/>
      <x:c r="J8" s="1"/>
      <x:c r="K8" s="1"/>
      <x:c r="L8" s="1"/>
    </x:row>
    <x:row r="9" ht="22" customHeight="1">
      <x:c r="A9" s="1"/>
      <x:c r="B9" s="1"/>
      <x:c r="C9" s="1" t="str">
        <x:v>Normalized operating margin</x:v>
      </x:c>
      <x:c r="D9" s="11" t="n">
        <x:f>Inputs!$D$17</x:f>
        <x:v>0.195</x:v>
      </x:c>
      <x:c r="E9" s="4"/>
      <x:c r="F9" s="4"/>
      <x:c r="G9" s="4"/>
      <x:c r="H9" s="4"/>
      <x:c r="I9" s="4"/>
      <x:c r="J9" s="1"/>
      <x:c r="K9" s="1"/>
      <x:c r="L9" s="1"/>
    </x:row>
    <x:row r="10" ht="22" customHeight="1">
      <x:c r="A10" s="1"/>
      <x:c r="B10" s="1"/>
      <x:c r="C10" s="1" t="str">
        <x:v>Normalized NOPAT</x:v>
      </x:c>
      <x:c r="D10" s="9" t="n">
        <x:f>D8*D9*(1-Forecast!E12)</x:f>
        <x:v>42.12673920000001</x:v>
      </x:c>
      <x:c r="E10" s="4"/>
      <x:c r="F10" s="4"/>
      <x:c r="G10" s="4"/>
      <x:c r="H10" s="4"/>
      <x:c r="I10" s="4"/>
      <x:c r="J10" s="1"/>
      <x:c r="K10" s="1"/>
      <x:c r="L10" s="1"/>
    </x:row>
    <x:row r="11" ht="22" customHeight="1">
      <x:c r="A11" s="1"/>
      <x:c r="B11" s="1"/>
      <x:c r="C11" s="1" t="str">
        <x:v>Parent allocation</x:v>
      </x:c>
      <x:c r="D11" s="9" t="n">
        <x:f>Forecast!E27</x:f>
        <x:v>1</x:v>
      </x:c>
      <x:c r="E11" s="4"/>
      <x:c r="F11" s="4"/>
      <x:c r="G11" s="4"/>
      <x:c r="H11" s="4"/>
      <x:c r="I11" s="4"/>
      <x:c r="J11" s="1"/>
      <x:c r="K11" s="1"/>
      <x:c r="L11" s="1"/>
    </x:row>
    <x:row r="12" ht="22" customHeight="1">
      <x:c r="A12" s="1"/>
      <x:c r="B12" s="1"/>
      <x:c r="C12" s="1" t="str">
        <x:v>Parent operating NI</x:v>
      </x:c>
      <x:c r="D12" s="4" t="n">
        <x:f>D10*D11</x:f>
        <x:v>42.12673920000001</x:v>
      </x:c>
      <x:c r="E12" s="4"/>
      <x:c r="F12" s="4"/>
      <x:c r="G12" s="4"/>
      <x:c r="H12" s="4"/>
      <x:c r="I12" s="4"/>
      <x:c r="J12" s="1"/>
      <x:c r="K12" s="1"/>
      <x:c r="L12" s="1"/>
    </x:row>
    <x:row r="13" ht="22" customHeight="1">
      <x:c r="A13" s="1"/>
      <x:c r="B13" s="1"/>
      <x:c r="C13" s="1" t="str">
        <x:v>Cash return</x:v>
      </x:c>
      <x:c r="D13" s="9" t="n">
        <x:f>'Cash Equity Bridge'!D21*Inputs!$D$20</x:f>
        <x:v>1.6024717795671877</x:v>
      </x:c>
      <x:c r="E13" s="4"/>
      <x:c r="F13" s="4"/>
      <x:c r="G13" s="4"/>
      <x:c r="H13" s="4"/>
      <x:c r="I13" s="4"/>
      <x:c r="J13" s="1"/>
      <x:c r="K13" s="1"/>
      <x:c r="L13" s="1"/>
    </x:row>
    <x:row r="14" ht="22" customHeight="1">
      <x:c r="A14" s="1"/>
      <x:c r="B14" s="1"/>
      <x:c r="C14" s="1" t="str">
        <x:v>Normalized parent NI</x:v>
      </x:c>
      <x:c r="D14" s="4" t="n">
        <x:f>D12+D13</x:f>
        <x:v>43.7292109795672</x:v>
      </x:c>
      <x:c r="E14" s="4"/>
      <x:c r="F14" s="4"/>
      <x:c r="G14" s="4"/>
      <x:c r="H14" s="4"/>
      <x:c r="I14" s="4"/>
      <x:c r="J14" s="1"/>
      <x:c r="K14" s="1"/>
      <x:c r="L14" s="1"/>
    </x:row>
    <x:row r="15" ht="22" customHeight="1">
      <x:c r="A15" s="1"/>
      <x:c r="B15" s="1"/>
      <x:c r="C15" s="1" t="str">
        <x:v>Normalized EPS</x:v>
      </x:c>
      <x:c r="D15" s="9" t="n">
        <x:f>D14*1000/'Cash Equity Bridge'!D23</x:f>
        <x:v>2074.859066916584</x:v>
      </x:c>
      <x:c r="E15" s="4"/>
      <x:c r="F15" s="4"/>
      <x:c r="G15" s="4"/>
      <x:c r="H15" s="4"/>
      <x:c r="I15" s="4"/>
      <x:c r="J15" s="1"/>
      <x:c r="K15" s="1"/>
      <x:c r="L15" s="1"/>
    </x:row>
    <x:row r="16" ht="22" customHeight="1">
      <x:c r="A16" s="1"/>
      <x:c r="B16" s="1"/>
      <x:c r="C16" s="1"/>
      <x:c r="D16" s="4"/>
      <x:c r="E16" s="4"/>
      <x:c r="F16" s="4"/>
      <x:c r="G16" s="4"/>
      <x:c r="H16" s="4"/>
      <x:c r="I16" s="4"/>
      <x:c r="J16" s="1"/>
      <x:c r="K16" s="1"/>
      <x:c r="L16" s="1"/>
    </x:row>
    <x:row r="17" ht="22" customHeight="1">
      <x:c r="A17" s="1"/>
      <x:c r="B17" s="1"/>
      <x:c r="C17" s="1"/>
      <x:c r="D17" s="4"/>
      <x:c r="E17" s="4"/>
      <x:c r="F17" s="4"/>
      <x:c r="G17" s="4"/>
      <x:c r="H17" s="4"/>
      <x:c r="I17" s="4"/>
      <x:c r="J17" s="1"/>
      <x:c r="K17" s="1"/>
      <x:c r="L17" s="1"/>
    </x:row>
    <x:row r="18" ht="22" customHeight="1">
      <x:c r="A18" s="1"/>
      <x:c r="B18" s="1"/>
      <x:c r="C18" s="1" t="str">
        <x:v>EPS growth 5 years</x:v>
      </x:c>
      <x:c r="D18" s="11" t="n">
        <x:f>Inputs!$D$15</x:f>
        <x:v>0.07</x:v>
      </x:c>
      <x:c r="E18" s="4"/>
      <x:c r="F18" s="4"/>
      <x:c r="G18" s="4"/>
      <x:c r="H18" s="4"/>
      <x:c r="I18" s="4"/>
      <x:c r="J18" s="1"/>
      <x:c r="K18" s="1"/>
      <x:c r="L18" s="1"/>
    </x:row>
    <x:row r="19" ht="22" customHeight="1">
      <x:c r="A19" s="1"/>
      <x:c r="B19" s="1"/>
      <x:c r="C19" s="1" t="str">
        <x:v>Incremental ROE</x:v>
      </x:c>
      <x:c r="D19" s="11" t="n">
        <x:f>Inputs!$D$16</x:f>
        <x:v>0.17</x:v>
      </x:c>
      <x:c r="E19" s="4"/>
      <x:c r="F19" s="4"/>
      <x:c r="G19" s="4"/>
      <x:c r="H19" s="4"/>
      <x:c r="I19" s="4"/>
      <x:c r="J19" s="1"/>
      <x:c r="K19" s="1"/>
      <x:c r="L19" s="1"/>
    </x:row>
    <x:row r="20" ht="22" customHeight="1">
      <x:c r="A20" s="1"/>
      <x:c r="B20" s="1"/>
      <x:c r="C20" s="1" t="str">
        <x:v>Growth phase payout</x:v>
      </x:c>
      <x:c r="D20" s="5" t="n">
        <x:f>1-D18/D19</x:f>
        <x:v>0.588235294117647</x:v>
      </x:c>
      <x:c r="E20" s="4"/>
      <x:c r="F20" s="4"/>
      <x:c r="G20" s="4"/>
      <x:c r="H20" s="4"/>
      <x:c r="I20" s="4"/>
      <x:c r="J20" s="1"/>
      <x:c r="K20" s="1"/>
      <x:c r="L20" s="1"/>
    </x:row>
    <x:row r="21" ht="22" customHeight="1">
      <x:c r="A21" s="1"/>
      <x:c r="B21" s="1"/>
      <x:c r="C21" s="1" t="str">
        <x:v>Stable growth</x:v>
      </x:c>
      <x:c r="D21" s="11" t="n">
        <x:f>Inputs!$D$11</x:f>
        <x:v>0.02</x:v>
      </x:c>
      <x:c r="E21" s="4"/>
      <x:c r="F21" s="4"/>
      <x:c r="G21" s="4"/>
      <x:c r="H21" s="4"/>
      <x:c r="I21" s="4"/>
      <x:c r="J21" s="1"/>
      <x:c r="K21" s="1"/>
      <x:c r="L21" s="1"/>
    </x:row>
    <x:row r="22" ht="22" customHeight="1">
      <x:c r="A22" s="1"/>
      <x:c r="B22" s="1"/>
      <x:c r="C22" s="1" t="str">
        <x:v>Stable ROE</x:v>
      </x:c>
      <x:c r="D22" s="11" t="n">
        <x:f>Inputs!$D$13</x:f>
        <x:v>0.12</x:v>
      </x:c>
      <x:c r="E22" s="4"/>
      <x:c r="F22" s="4"/>
      <x:c r="G22" s="4"/>
      <x:c r="H22" s="4"/>
      <x:c r="I22" s="4"/>
      <x:c r="J22" s="1"/>
      <x:c r="K22" s="1"/>
      <x:c r="L22" s="1"/>
    </x:row>
    <x:row r="23" ht="22" customHeight="1">
      <x:c r="A23" s="1"/>
      <x:c r="B23" s="1"/>
      <x:c r="C23" s="1" t="str">
        <x:v>Cost of equity</x:v>
      </x:c>
      <x:c r="D23" s="11" t="n">
        <x:f>Inputs!$D$10</x:f>
        <x:v>0.11</x:v>
      </x:c>
      <x:c r="E23" s="4"/>
      <x:c r="F23" s="4"/>
      <x:c r="G23" s="4"/>
      <x:c r="H23" s="4"/>
      <x:c r="I23" s="4"/>
      <x:c r="J23" s="1"/>
      <x:c r="K23" s="1"/>
      <x:c r="L23" s="1"/>
    </x:row>
    <x:row r="24" ht="22" customHeight="1">
      <x:c r="A24" s="1"/>
      <x:c r="B24" s="1"/>
      <x:c r="C24" s="1" t="str">
        <x:v>Stable payout</x:v>
      </x:c>
      <x:c r="D24" s="5" t="n">
        <x:f>1-D21/D22</x:f>
        <x:v>0.8333333333333333</x:v>
      </x:c>
      <x:c r="E24" s="4"/>
      <x:c r="F24" s="4"/>
      <x:c r="G24" s="4"/>
      <x:c r="H24" s="4"/>
      <x:c r="I24" s="4"/>
      <x:c r="J24" s="1"/>
      <x:c r="K24" s="1"/>
      <x:c r="L24" s="1"/>
    </x:row>
    <x:row r="25" ht="22" customHeight="1">
      <x:c r="A25" s="1"/>
      <x:c r="B25" s="1"/>
      <x:c r="C25" s="1" t="str">
        <x:v>Terminal forward PE</x:v>
      </x:c>
      <x:c r="D25" s="4" t="n">
        <x:f>D24/(D23-D21)</x:f>
        <x:v>9.25925925925926</x:v>
      </x:c>
      <x:c r="E25" s="4"/>
      <x:c r="F25" s="4"/>
      <x:c r="G25" s="4"/>
      <x:c r="H25" s="4"/>
      <x:c r="I25" s="4"/>
      <x:c r="J25" s="1"/>
      <x:c r="K25" s="1"/>
      <x:c r="L25" s="1"/>
    </x:row>
    <x:row r="26" ht="22" customHeight="1">
      <x:c r="A26" s="1"/>
      <x:c r="B26" s="1"/>
      <x:c r="C26" s="1"/>
      <x:c r="D26" s="4"/>
      <x:c r="E26" s="4"/>
      <x:c r="F26" s="4"/>
      <x:c r="G26" s="4"/>
      <x:c r="H26" s="4"/>
      <x:c r="I26" s="4"/>
      <x:c r="J26" s="1"/>
      <x:c r="K26" s="1"/>
      <x:c r="L26" s="1"/>
    </x:row>
    <x:row r="27" ht="22" customHeight="1">
      <x:c r="A27" s="1"/>
      <x:c r="B27" s="1"/>
      <x:c r="C27" s="1"/>
      <x:c r="D27" s="4"/>
      <x:c r="E27" s="4"/>
      <x:c r="F27" s="4"/>
      <x:c r="G27" s="4"/>
      <x:c r="H27" s="4"/>
      <x:c r="I27" s="4"/>
      <x:c r="J27" s="1"/>
      <x:c r="K27" s="1"/>
      <x:c r="L27" s="1"/>
    </x:row>
    <x:row r="28" ht="22" customHeight="1">
      <x:c r="A28" s="1"/>
      <x:c r="B28" s="1"/>
      <x:c r="C28" s="1"/>
      <x:c r="D28" s="4"/>
      <x:c r="E28" s="4"/>
      <x:c r="F28" s="4"/>
      <x:c r="G28" s="4"/>
      <x:c r="H28" s="4"/>
      <x:c r="I28" s="4"/>
      <x:c r="J28" s="1"/>
      <x:c r="K28" s="1"/>
      <x:c r="L28" s="1"/>
    </x:row>
    <x:row r="29" ht="27" customHeight="1">
      <x:c r="A29" s="1"/>
      <x:c r="B29" s="1"/>
      <x:c r="C29" s="18"/>
      <x:c r="D29" s="19" t="n">
        <x:v>2027</x:v>
      </x:c>
      <x:c r="E29" s="19" t="n">
        <x:v>2028</x:v>
      </x:c>
      <x:c r="F29" s="19" t="n">
        <x:v>2029</x:v>
      </x:c>
      <x:c r="G29" s="19" t="n">
        <x:v>2030</x:v>
      </x:c>
      <x:c r="H29" s="19" t="n">
        <x:v>2031</x:v>
      </x:c>
      <x:c r="I29" s="4"/>
      <x:c r="J29" s="1"/>
      <x:c r="K29" s="1"/>
      <x:c r="L29" s="1"/>
    </x:row>
    <x:row r="30" ht="22" customHeight="1">
      <x:c r="A30" s="1"/>
      <x:c r="B30" s="1"/>
      <x:c r="C30" s="1" t="str">
        <x:v>EPS / EPS_2027</x:v>
      </x:c>
      <x:c r="D30" s="4" t="n">
        <x:f>(1+$D$18)^0</x:f>
        <x:v>1</x:v>
      </x:c>
      <x:c r="E30" s="4" t="n">
        <x:f>(1+$D$18)^1</x:f>
        <x:v>1.07</x:v>
      </x:c>
      <x:c r="F30" s="4" t="n">
        <x:f>(1+$D$18)^2</x:f>
        <x:v>1.1449</x:v>
      </x:c>
      <x:c r="G30" s="4" t="n">
        <x:f>(1+$D$18)^3</x:f>
        <x:v>1.225043</x:v>
      </x:c>
      <x:c r="H30" s="4" t="n">
        <x:f>(1+$D$18)^4</x:f>
        <x:v>1.3107960100000002</x:v>
      </x:c>
      <x:c r="I30" s="4"/>
      <x:c r="J30" s="1"/>
      <x:c r="K30" s="1"/>
      <x:c r="L30" s="1"/>
    </x:row>
    <x:row r="31" ht="22" customHeight="1">
      <x:c r="A31" s="1"/>
      <x:c r="B31" s="1"/>
      <x:c r="C31" s="1" t="str">
        <x:v>Payout</x:v>
      </x:c>
      <x:c r="D31" s="4" t="n">
        <x:f>$D$20</x:f>
        <x:v>0.588235294117647</x:v>
      </x:c>
      <x:c r="E31" s="4" t="n">
        <x:f>$D$20</x:f>
        <x:v>0.588235294117647</x:v>
      </x:c>
      <x:c r="F31" s="4" t="n">
        <x:f>$D$20</x:f>
        <x:v>0.588235294117647</x:v>
      </x:c>
      <x:c r="G31" s="4" t="n">
        <x:f>$D$20</x:f>
        <x:v>0.588235294117647</x:v>
      </x:c>
      <x:c r="H31" s="4" t="n">
        <x:f>$D$20</x:f>
        <x:v>0.588235294117647</x:v>
      </x:c>
      <x:c r="I31" s="4"/>
      <x:c r="J31" s="1"/>
      <x:c r="K31" s="1"/>
      <x:c r="L31" s="1"/>
    </x:row>
    <x:row r="32" ht="22" customHeight="1">
      <x:c r="A32" s="1"/>
      <x:c r="B32" s="1"/>
      <x:c r="C32" s="1" t="str">
        <x:v>Discount factor</x:v>
      </x:c>
      <x:c r="D32" s="4" t="n">
        <x:f>1/(1+$D$23)^1</x:f>
        <x:v>0.9009009009009008</x:v>
      </x:c>
      <x:c r="E32" s="4" t="n">
        <x:f>1/(1+$D$23)^2</x:f>
        <x:v>0.8116224332440547</x:v>
      </x:c>
      <x:c r="F32" s="4" t="n">
        <x:f>1/(1+$D$23)^3</x:f>
        <x:v>0.7311913813009502</x:v>
      </x:c>
      <x:c r="G32" s="4" t="n">
        <x:f>1/(1+$D$23)^4</x:f>
        <x:v>0.6587309741450001</x:v>
      </x:c>
      <x:c r="H32" s="4" t="n">
        <x:f>1/(1+$D$23)^5</x:f>
        <x:v>0.5934513280585586</x:v>
      </x:c>
      <x:c r="I32" s="4"/>
      <x:c r="J32" s="1"/>
      <x:c r="K32" s="1"/>
      <x:c r="L32" s="1"/>
    </x:row>
    <x:row r="33" ht="22" customHeight="1">
      <x:c r="A33" s="1"/>
      <x:c r="B33" s="1"/>
      <x:c r="C33" s="1" t="str">
        <x:v>PV payout / EPS_2027</x:v>
      </x:c>
      <x:c r="D33" s="4" t="n">
        <x:f>D30*D31*D32</x:f>
        <x:v>0.5299417064122945</x:v>
      </x:c>
      <x:c r="E33" s="4" t="n">
        <x:f>E30*E31*E32</x:f>
        <x:v>0.5108447079830226</x:v>
      </x:c>
      <x:c r="F33" s="4" t="n">
        <x:f>F30*F31*F32</x:f>
        <x:v>0.4924358896773281</x:v>
      </x:c>
      <x:c r="G33" s="4" t="n">
        <x:f>G30*G31*G32</x:f>
        <x:v>0.4746904522114785</x:v>
      </x:c>
      <x:c r="H33" s="4" t="n">
        <x:f>H30*H31*H32</x:f>
        <x:v>0.45758448996962336</x:v>
      </x:c>
      <x:c r="I33" s="4"/>
      <x:c r="J33" s="1"/>
      <x:c r="K33" s="1"/>
      <x:c r="L33" s="1"/>
    </x:row>
    <x:row r="34" ht="22" customHeight="1">
      <x:c r="A34" s="1"/>
      <x:c r="B34" s="1"/>
      <x:c r="C34" s="1"/>
      <x:c r="D34" s="4"/>
      <x:c r="E34" s="4"/>
      <x:c r="F34" s="4"/>
      <x:c r="G34" s="4"/>
      <x:c r="H34" s="4"/>
      <x:c r="I34" s="4"/>
      <x:c r="J34" s="1"/>
      <x:c r="K34" s="1"/>
      <x:c r="L34" s="1"/>
    </x:row>
    <x:row r="35" ht="22" customHeight="1">
      <x:c r="A35" s="1"/>
      <x:c r="B35" s="1"/>
      <x:c r="C35" s="1"/>
      <x:c r="D35" s="4"/>
      <x:c r="E35" s="4"/>
      <x:c r="F35" s="4"/>
      <x:c r="G35" s="4"/>
      <x:c r="H35" s="4"/>
      <x:c r="I35" s="4"/>
      <x:c r="J35" s="1"/>
      <x:c r="K35" s="1"/>
      <x:c r="L35" s="1"/>
    </x:row>
    <x:row r="36" ht="22" customHeight="1">
      <x:c r="A36" s="1"/>
      <x:c r="B36" s="1"/>
      <x:c r="C36" s="1" t="str">
        <x:v>PV payout / EPS_2027</x:v>
      </x:c>
      <x:c r="D36" s="4" t="n">
        <x:f>SUM(D33:H33)</x:f>
        <x:v>2.4654972462537468</x:v>
      </x:c>
      <x:c r="E36" s="4"/>
      <x:c r="F36" s="4"/>
      <x:c r="G36" s="4"/>
      <x:c r="H36" s="4"/>
      <x:c r="I36" s="4"/>
      <x:c r="J36" s="1"/>
      <x:c r="K36" s="1"/>
      <x:c r="L36" s="1"/>
    </x:row>
    <x:row r="37" ht="22" customHeight="1">
      <x:c r="A37" s="1"/>
      <x:c r="B37" s="1"/>
      <x:c r="C37" s="1" t="str">
        <x:v>PV terminal / EPS_2027</x:v>
      </x:c>
      <x:c r="D37" s="4" t="n">
        <x:f>H30*(1+D21)*D25/(1+D23)^5</x:f>
        <x:v>7.346773200067842</x:v>
      </x:c>
      <x:c r="E37" s="4"/>
      <x:c r="F37" s="4"/>
      <x:c r="G37" s="4"/>
      <x:c r="H37" s="4"/>
      <x:c r="I37" s="4"/>
      <x:c r="J37" s="1"/>
      <x:c r="K37" s="1"/>
      <x:c r="L37" s="1"/>
    </x:row>
    <x:row r="38" ht="22" customHeight="1">
      <x:c r="A38" s="1"/>
      <x:c r="B38" s="1"/>
      <x:c r="C38" s="1" t="str">
        <x:v>Justified forward PER</x:v>
      </x:c>
      <x:c r="D38" s="4" t="n">
        <x:f>D36+D37</x:f>
        <x:v>9.81227044632159</x:v>
      </x:c>
      <x:c r="E38" s="4"/>
      <x:c r="F38" s="4"/>
      <x:c r="G38" s="4"/>
      <x:c r="H38" s="4"/>
      <x:c r="I38" s="4"/>
      <x:c r="J38" s="1"/>
      <x:c r="K38" s="1"/>
      <x:c r="L38" s="1"/>
    </x:row>
    <x:row r="39" ht="22" customHeight="1">
      <x:c r="A39" s="1"/>
      <x:c r="B39" s="1"/>
      <x:c r="C39" s="1" t="str">
        <x:v>PER KRW/share</x:v>
      </x:c>
      <x:c r="D39" s="4" t="n">
        <x:f>D15*D38</x:f>
        <x:v>20359.078302587986</x:v>
      </x:c>
      <x:c r="E39" s="4"/>
      <x:c r="F39" s="4"/>
      <x:c r="G39" s="4"/>
      <x:c r="H39" s="4"/>
      <x:c r="I39" s="4"/>
      <x:c r="J39" s="1"/>
      <x:c r="K39" s="1"/>
      <x:c r="L39" s="1"/>
    </x:row>
    <x:row r="40" ht="22" customHeight="1">
      <x:c r="A40" s="1"/>
      <x:c r="B40" s="1"/>
      <x:c r="C40" s="1"/>
      <x:c r="D40" s="4"/>
      <x:c r="E40" s="4"/>
      <x:c r="F40" s="4"/>
      <x:c r="G40" s="4"/>
      <x:c r="H40" s="4"/>
      <x:c r="I40" s="4"/>
      <x:c r="J40" s="1"/>
      <x:c r="K40" s="1"/>
      <x:c r="L40" s="1"/>
    </x:row>
    <x:row r="41" ht="22" customHeight="1">
      <x:c r="A41" s="1"/>
      <x:c r="B41" s="1"/>
      <x:c r="C41" s="1"/>
      <x:c r="D41" s="4"/>
      <x:c r="E41" s="4"/>
      <x:c r="F41" s="4"/>
      <x:c r="G41" s="4"/>
      <x:c r="H41" s="4"/>
      <x:c r="I41" s="4"/>
      <x:c r="J41" s="1"/>
      <x:c r="K41" s="1"/>
      <x:c r="L41" s="1"/>
    </x:row>
    <x:row r="42" ht="22" customHeight="1">
      <x:c r="A42" s="1"/>
      <x:c r="B42" s="1"/>
      <x:c r="C42" s="1"/>
      <x:c r="D42" s="4"/>
      <x:c r="E42" s="4"/>
      <x:c r="F42" s="4"/>
      <x:c r="G42" s="4"/>
      <x:c r="H42" s="4"/>
      <x:c r="I42" s="4"/>
      <x:c r="J42" s="1"/>
      <x:c r="K42" s="1"/>
      <x:c r="L42" s="1"/>
    </x:row>
    <x:row r="43" ht="22" customHeight="1">
      <x:c r="A43" s="1"/>
      <x:c r="B43" s="1"/>
      <x:c r="C43" s="1"/>
      <x:c r="D43" s="4"/>
      <x:c r="E43" s="4"/>
      <x:c r="F43" s="4"/>
      <x:c r="G43" s="4"/>
      <x:c r="H43" s="4"/>
      <x:c r="I43" s="4"/>
      <x:c r="J43" s="1"/>
      <x:c r="K43" s="1"/>
      <x:c r="L43" s="1"/>
    </x:row>
    <x:row r="44" ht="22" customHeight="1">
      <x:c r="A44" s="1"/>
      <x:c r="B44" s="1"/>
      <x:c r="C44" s="1"/>
      <x:c r="D44" s="4"/>
      <x:c r="E44" s="4"/>
      <x:c r="F44" s="4"/>
      <x:c r="G44" s="4"/>
      <x:c r="H44" s="4"/>
      <x:c r="I44" s="4"/>
      <x:c r="J44" s="1"/>
      <x:c r="K44" s="1"/>
      <x:c r="L44" s="1"/>
    </x:row>
    <x:row r="45" ht="22" customHeight="1">
      <x:c r="A45" s="1"/>
      <x:c r="B45" s="1"/>
      <x:c r="C45" s="1"/>
      <x:c r="D45" s="4"/>
      <x:c r="E45" s="4"/>
      <x:c r="F45" s="4"/>
      <x:c r="G45" s="4"/>
      <x:c r="H45" s="4"/>
      <x:c r="I45" s="4"/>
      <x:c r="J45" s="1"/>
      <x:c r="K45" s="1"/>
      <x:c r="L45" s="1"/>
    </x:row>
    <x:row r="46" ht="22" customHeight="1">
      <x:c r="A46" s="1"/>
      <x:c r="B46" s="1"/>
      <x:c r="C46" s="1"/>
      <x:c r="D46" s="4"/>
      <x:c r="E46" s="4"/>
      <x:c r="F46" s="4"/>
      <x:c r="G46" s="4"/>
      <x:c r="H46" s="4"/>
      <x:c r="I46" s="4"/>
      <x:c r="J46" s="1"/>
      <x:c r="K46" s="1"/>
      <x:c r="L46" s="1"/>
    </x:row>
    <x:row r="47" ht="22" customHeight="1">
      <x:c r="A47" s="1"/>
      <x:c r="B47" s="1"/>
      <x:c r="C47" s="1"/>
      <x:c r="D47" s="4"/>
      <x:c r="E47" s="4"/>
      <x:c r="F47" s="4"/>
      <x:c r="G47" s="4"/>
      <x:c r="H47" s="4"/>
      <x:c r="I47" s="4"/>
      <x:c r="J47" s="1"/>
      <x:c r="K47" s="1"/>
      <x:c r="L47" s="1"/>
    </x:row>
    <x:row r="48" ht="22" customHeight="1">
      <x:c r="A48" s="1"/>
      <x:c r="B48" s="1"/>
      <x:c r="C48" s="1"/>
      <x:c r="D48" s="4"/>
      <x:c r="E48" s="4"/>
      <x:c r="F48" s="4"/>
      <x:c r="G48" s="4"/>
      <x:c r="H48" s="4"/>
      <x:c r="I48" s="4"/>
      <x:c r="J48" s="1"/>
      <x:c r="K48" s="1"/>
      <x:c r="L48" s="1"/>
    </x:row>
    <x:row r="49" ht="22" customHeight="1">
      <x:c r="A49" s="1"/>
      <x:c r="B49" s="1"/>
      <x:c r="C49" s="1"/>
      <x:c r="D49" s="4"/>
      <x:c r="E49" s="4"/>
      <x:c r="F49" s="4"/>
      <x:c r="G49" s="4"/>
      <x:c r="H49" s="4"/>
      <x:c r="I49" s="4"/>
      <x:c r="J49" s="1"/>
      <x:c r="K49" s="1"/>
      <x:c r="L49" s="1"/>
    </x:row>
    <x:row r="50" ht="22" customHeight="1">
      <x:c r="A50" s="1"/>
      <x:c r="B50" s="1"/>
      <x:c r="C50" s="1"/>
      <x:c r="D50" s="4"/>
      <x:c r="E50" s="4"/>
      <x:c r="F50" s="4"/>
      <x:c r="G50" s="4"/>
      <x:c r="H50" s="4"/>
      <x:c r="I50" s="4"/>
      <x:c r="J50" s="1"/>
      <x:c r="K50" s="1"/>
      <x:c r="L50" s="1"/>
    </x:row>
    <x:row r="51" ht="22" customHeight="1">
      <x:c r="A51" s="1"/>
      <x:c r="B51" s="1"/>
      <x:c r="C51" s="1"/>
      <x:c r="D51" s="4"/>
      <x:c r="E51" s="4"/>
      <x:c r="F51" s="4"/>
      <x:c r="G51" s="4"/>
      <x:c r="H51" s="4"/>
      <x:c r="I51" s="4"/>
      <x:c r="J51" s="1"/>
      <x:c r="K51" s="1"/>
      <x:c r="L51" s="1"/>
    </x:row>
    <x:row r="52" ht="22" customHeight="1">
      <x:c r="A52" s="1"/>
      <x:c r="B52" s="1"/>
      <x:c r="C52" s="1"/>
      <x:c r="D52" s="4"/>
      <x:c r="E52" s="4"/>
      <x:c r="F52" s="4"/>
      <x:c r="G52" s="4"/>
      <x:c r="H52" s="4"/>
      <x:c r="I52" s="4"/>
      <x:c r="J52" s="1"/>
      <x:c r="K52" s="1"/>
      <x:c r="L52" s="1"/>
    </x:row>
    <x:row r="53" ht="22" customHeight="1">
      <x:c r="A53" s="1"/>
      <x:c r="B53" s="1"/>
      <x:c r="C53" s="1"/>
      <x:c r="D53" s="4"/>
      <x:c r="E53" s="4"/>
      <x:c r="F53" s="4"/>
      <x:c r="G53" s="4"/>
      <x:c r="H53" s="4"/>
      <x:c r="I53" s="4"/>
      <x:c r="J53" s="1"/>
      <x:c r="K53" s="1"/>
      <x:c r="L53" s="1"/>
    </x:row>
    <x:row r="54" ht="22" customHeight="1">
      <x:c r="A54" s="1"/>
      <x:c r="B54" s="1"/>
      <x:c r="C54" s="1"/>
      <x:c r="D54" s="4"/>
      <x:c r="E54" s="4"/>
      <x:c r="F54" s="4"/>
      <x:c r="G54" s="4"/>
      <x:c r="H54" s="4"/>
      <x:c r="I54" s="4"/>
      <x:c r="J54" s="1"/>
      <x:c r="K54" s="1"/>
      <x:c r="L54" s="1"/>
    </x:row>
    <x:row r="55" ht="22" customHeight="1">
      <x:c r="A55" s="1"/>
      <x:c r="B55" s="1"/>
      <x:c r="C55" s="1"/>
      <x:c r="D55" s="4"/>
      <x:c r="E55" s="4"/>
      <x:c r="F55" s="4"/>
      <x:c r="G55" s="4"/>
      <x:c r="H55" s="4"/>
      <x:c r="I55" s="4"/>
      <x:c r="J55" s="1"/>
      <x:c r="K55" s="1"/>
      <x:c r="L55" s="1"/>
    </x:row>
    <x:row r="56" ht="22" customHeight="1">
      <x:c r="A56" s="1"/>
      <x:c r="B56" s="1"/>
      <x:c r="C56" s="1"/>
      <x:c r="D56" s="4"/>
      <x:c r="E56" s="4"/>
      <x:c r="F56" s="4"/>
      <x:c r="G56" s="4"/>
      <x:c r="H56" s="4"/>
      <x:c r="I56" s="4"/>
      <x:c r="J56" s="1"/>
      <x:c r="K56" s="1"/>
      <x:c r="L56" s="1"/>
    </x:row>
    <x:row r="57" ht="22" customHeight="1">
      <x:c r="A57" s="1"/>
      <x:c r="B57" s="1"/>
      <x:c r="C57" s="1"/>
      <x:c r="D57" s="4"/>
      <x:c r="E57" s="4"/>
      <x:c r="F57" s="4"/>
      <x:c r="G57" s="4"/>
      <x:c r="H57" s="4"/>
      <x:c r="I57" s="4"/>
      <x:c r="J57" s="1"/>
      <x:c r="K57" s="1"/>
      <x:c r="L57" s="1"/>
    </x:row>
    <x:row r="58" ht="22" customHeight="1">
      <x:c r="A58" s="1"/>
      <x:c r="B58" s="1"/>
      <x:c r="C58" s="1"/>
      <x:c r="D58" s="4"/>
      <x:c r="E58" s="4"/>
      <x:c r="F58" s="4"/>
      <x:c r="G58" s="4"/>
      <x:c r="H58" s="4"/>
      <x:c r="I58" s="4"/>
      <x:c r="J58" s="1"/>
      <x:c r="K58" s="1"/>
      <x:c r="L58" s="1"/>
    </x:row>
    <x:row r="59" ht="22" customHeight="1">
      <x:c r="A59" s="1"/>
      <x:c r="B59" s="1"/>
      <x:c r="C59" s="1"/>
      <x:c r="D59" s="4"/>
      <x:c r="E59" s="4"/>
      <x:c r="F59" s="4"/>
      <x:c r="G59" s="4"/>
      <x:c r="H59" s="4"/>
      <x:c r="I59" s="4"/>
      <x:c r="J59" s="1"/>
      <x:c r="K59" s="1"/>
      <x:c r="L59" s="1"/>
    </x:row>
    <x:row r="60" ht="22" customHeight="1">
      <x:c r="A60" s="1"/>
      <x:c r="B60" s="1"/>
      <x:c r="C60" s="1"/>
      <x:c r="D60" s="4"/>
      <x:c r="E60" s="4"/>
      <x:c r="F60" s="4"/>
      <x:c r="G60" s="4"/>
      <x:c r="H60" s="4"/>
      <x:c r="I60" s="4"/>
      <x:c r="J60" s="1"/>
      <x:c r="K60" s="1"/>
      <x:c r="L60" s="1"/>
    </x:row>
    <x:row r="61" ht="22" customHeight="1">
      <x:c r="A61" s="1"/>
      <x:c r="B61" s="1"/>
      <x:c r="C61" s="1"/>
      <x:c r="D61" s="4"/>
      <x:c r="E61" s="4"/>
      <x:c r="F61" s="4"/>
      <x:c r="G61" s="4"/>
      <x:c r="H61" s="4"/>
      <x:c r="I61" s="4"/>
      <x:c r="J61" s="1"/>
      <x:c r="K61" s="1"/>
      <x:c r="L61" s="1"/>
    </x:row>
    <x:row r="62" ht="22" customHeight="1">
      <x:c r="A62" s="1"/>
      <x:c r="B62" s="1"/>
      <x:c r="C62" s="1"/>
      <x:c r="D62" s="4"/>
      <x:c r="E62" s="4"/>
      <x:c r="F62" s="4"/>
      <x:c r="G62" s="4"/>
      <x:c r="H62" s="4"/>
      <x:c r="I62" s="4"/>
      <x:c r="J62" s="1"/>
      <x:c r="K62" s="1"/>
      <x:c r="L62" s="1"/>
    </x:row>
    <x:row r="63" ht="22" customHeight="1">
      <x:c r="A63" s="1"/>
      <x:c r="B63" s="1"/>
      <x:c r="C63" s="1"/>
      <x:c r="D63" s="4"/>
      <x:c r="E63" s="4"/>
      <x:c r="F63" s="4"/>
      <x:c r="G63" s="4"/>
      <x:c r="H63" s="4"/>
      <x:c r="I63" s="4"/>
      <x:c r="J63" s="1"/>
      <x:c r="K63" s="1"/>
      <x:c r="L63" s="1"/>
    </x:row>
    <x:row r="64" ht="22" customHeight="1">
      <x:c r="A64" s="1"/>
      <x:c r="B64" s="1"/>
      <x:c r="C64" s="1"/>
      <x:c r="D64" s="4"/>
      <x:c r="E64" s="4"/>
      <x:c r="F64" s="4"/>
      <x:c r="G64" s="4"/>
      <x:c r="H64" s="4"/>
      <x:c r="I64" s="4"/>
      <x:c r="J64" s="1"/>
      <x:c r="K64" s="1"/>
      <x:c r="L64" s="1"/>
    </x:row>
    <x:row r="65" ht="22" customHeight="1">
      <x:c r="A65" s="1"/>
      <x:c r="B65" s="1"/>
      <x:c r="C65" s="1"/>
      <x:c r="D65" s="4"/>
      <x:c r="E65" s="4"/>
      <x:c r="F65" s="4"/>
      <x:c r="G65" s="4"/>
      <x:c r="H65" s="4"/>
      <x:c r="I65" s="4"/>
      <x:c r="J65" s="1"/>
      <x:c r="K65" s="1"/>
      <x:c r="L65" s="1"/>
    </x:row>
    <x:row r="66" ht="22" customHeight="1">
      <x:c r="A66" s="1"/>
      <x:c r="B66" s="1"/>
      <x:c r="C66" s="1"/>
      <x:c r="D66" s="4"/>
      <x:c r="E66" s="4"/>
      <x:c r="F66" s="4"/>
      <x:c r="G66" s="4"/>
      <x:c r="H66" s="4"/>
      <x:c r="I66" s="4"/>
      <x:c r="J66" s="1"/>
      <x:c r="K66" s="1"/>
      <x:c r="L66" s="1"/>
    </x:row>
    <x:row r="67" ht="22" customHeight="1">
      <x:c r="A67" s="1"/>
      <x:c r="B67" s="1"/>
      <x:c r="C67" s="1"/>
      <x:c r="D67" s="4"/>
      <x:c r="E67" s="4"/>
      <x:c r="F67" s="4"/>
      <x:c r="G67" s="4"/>
      <x:c r="H67" s="4"/>
      <x:c r="I67" s="4"/>
      <x:c r="J67" s="1"/>
      <x:c r="K67" s="1"/>
      <x:c r="L67" s="1"/>
    </x:row>
    <x:row r="68" ht="22" customHeight="1">
      <x:c r="A68" s="1"/>
      <x:c r="B68" s="1"/>
      <x:c r="C68" s="1"/>
      <x:c r="D68" s="4"/>
      <x:c r="E68" s="4"/>
      <x:c r="F68" s="4"/>
      <x:c r="G68" s="4"/>
      <x:c r="H68" s="4"/>
      <x:c r="I68" s="4"/>
      <x:c r="J68" s="1"/>
      <x:c r="K68" s="1"/>
      <x:c r="L68" s="1"/>
    </x:row>
    <x:row r="69" ht="22" customHeight="1">
      <x:c r="A69" s="1"/>
      <x:c r="B69" s="1"/>
      <x:c r="C69" s="1"/>
      <x:c r="D69" s="4"/>
      <x:c r="E69" s="4"/>
      <x:c r="F69" s="4"/>
      <x:c r="G69" s="4"/>
      <x:c r="H69" s="4"/>
      <x:c r="I69" s="4"/>
      <x:c r="J69" s="1"/>
      <x:c r="K69" s="1"/>
      <x:c r="L69" s="1"/>
    </x:row>
    <x:row r="70" ht="22" customHeight="1">
      <x:c r="A70" s="1"/>
      <x:c r="B70" s="1"/>
      <x:c r="C70" s="1"/>
      <x:c r="D70" s="4"/>
      <x:c r="E70" s="4"/>
      <x:c r="F70" s="4"/>
      <x:c r="G70" s="4"/>
      <x:c r="H70" s="4"/>
      <x:c r="I70" s="4"/>
      <x:c r="J70" s="1"/>
      <x:c r="K70" s="1"/>
      <x:c r="L70" s="1"/>
    </x:row>
    <x:row r="71" ht="22" customHeight="1">
      <x:c r="A71" s="1"/>
      <x:c r="B71" s="1"/>
      <x:c r="C71" s="1"/>
      <x:c r="D71" s="4"/>
      <x:c r="E71" s="4"/>
      <x:c r="F71" s="4"/>
      <x:c r="G71" s="4"/>
      <x:c r="H71" s="4"/>
      <x:c r="I71" s="4"/>
      <x:c r="J71" s="1"/>
      <x:c r="K71" s="1"/>
      <x:c r="L71" s="1"/>
    </x:row>
    <x:row r="72" ht="22" customHeight="1">
      <x:c r="A72" s="1"/>
      <x:c r="B72" s="1"/>
      <x:c r="C72" s="1"/>
      <x:c r="D72" s="4"/>
      <x:c r="E72" s="4"/>
      <x:c r="F72" s="4"/>
      <x:c r="G72" s="4"/>
      <x:c r="H72" s="4"/>
      <x:c r="I72" s="4"/>
      <x:c r="J72" s="1"/>
      <x:c r="K72" s="1"/>
      <x:c r="L72" s="1"/>
    </x:row>
    <x:row r="73" ht="22" customHeight="1">
      <x:c r="A73" s="1"/>
      <x:c r="B73" s="1"/>
      <x:c r="C73" s="1"/>
      <x:c r="D73" s="4"/>
      <x:c r="E73" s="4"/>
      <x:c r="F73" s="4"/>
      <x:c r="G73" s="4"/>
      <x:c r="H73" s="4"/>
      <x:c r="I73" s="4"/>
      <x:c r="J73" s="1"/>
      <x:c r="K73" s="1"/>
      <x:c r="L73" s="1"/>
    </x:row>
    <x:row r="74" ht="22" customHeight="1">
      <x:c r="A74" s="1"/>
      <x:c r="B74" s="1"/>
      <x:c r="C74" s="1"/>
      <x:c r="D74" s="4"/>
      <x:c r="E74" s="4"/>
      <x:c r="F74" s="4"/>
      <x:c r="G74" s="4"/>
      <x:c r="H74" s="4"/>
      <x:c r="I74" s="4"/>
      <x:c r="J74" s="1"/>
      <x:c r="K74" s="1"/>
      <x:c r="L74" s="1"/>
    </x:row>
    <x:row r="75" ht="22" customHeight="1">
      <x:c r="A75" s="1"/>
      <x:c r="B75" s="1"/>
      <x:c r="C75" s="1"/>
      <x:c r="D75" s="4"/>
      <x:c r="E75" s="4"/>
      <x:c r="F75" s="4"/>
      <x:c r="G75" s="4"/>
      <x:c r="H75" s="4"/>
      <x:c r="I75" s="4"/>
      <x:c r="J75" s="1"/>
      <x:c r="K75" s="1"/>
      <x:c r="L75" s="1"/>
    </x:row>
    <x:row r="76" ht="22" customHeight="1">
      <x:c r="A76" s="1"/>
      <x:c r="B76" s="1"/>
      <x:c r="C76" s="1"/>
      <x:c r="D76" s="4"/>
      <x:c r="E76" s="4"/>
      <x:c r="F76" s="4"/>
      <x:c r="G76" s="4"/>
      <x:c r="H76" s="4"/>
      <x:c r="I76" s="4"/>
      <x:c r="J76" s="1"/>
      <x:c r="K76" s="1"/>
      <x:c r="L76" s="1"/>
    </x:row>
    <x:row r="77" ht="22" customHeight="1">
      <x:c r="A77" s="1"/>
      <x:c r="B77" s="1"/>
      <x:c r="C77" s="1"/>
      <x:c r="D77" s="4"/>
      <x:c r="E77" s="4"/>
      <x:c r="F77" s="4"/>
      <x:c r="G77" s="4"/>
      <x:c r="H77" s="4"/>
      <x:c r="I77" s="4"/>
      <x:c r="J77" s="1"/>
      <x:c r="K77" s="1"/>
      <x:c r="L77" s="1"/>
    </x:row>
    <x:row r="78" ht="22" customHeight="1">
      <x:c r="A78" s="1"/>
      <x:c r="B78" s="1"/>
      <x:c r="C78" s="1"/>
      <x:c r="D78" s="4"/>
      <x:c r="E78" s="4"/>
      <x:c r="F78" s="4"/>
      <x:c r="G78" s="4"/>
      <x:c r="H78" s="4"/>
      <x:c r="I78" s="4"/>
      <x:c r="J78" s="1"/>
      <x:c r="K78" s="1"/>
      <x:c r="L78" s="1"/>
    </x:row>
    <x:row r="79" ht="22" customHeight="1">
      <x:c r="A79" s="1"/>
      <x:c r="B79" s="1"/>
      <x:c r="C79" s="1"/>
      <x:c r="D79" s="4"/>
      <x:c r="E79" s="4"/>
      <x:c r="F79" s="4"/>
      <x:c r="G79" s="4"/>
      <x:c r="H79" s="4"/>
      <x:c r="I79" s="4"/>
      <x:c r="J79" s="1"/>
      <x:c r="K79" s="1"/>
      <x:c r="L79" s="1"/>
    </x:row>
    <x:row r="80" ht="22" customHeight="1">
      <x:c r="A80" s="1"/>
      <x:c r="B80" s="1"/>
      <x:c r="C80" s="1"/>
      <x:c r="D80" s="4"/>
      <x:c r="E80" s="4"/>
      <x:c r="F80" s="4"/>
      <x:c r="G80" s="4"/>
      <x:c r="H80" s="4"/>
      <x:c r="I80" s="4"/>
      <x:c r="J80" s="1"/>
      <x:c r="K80" s="1"/>
      <x:c r="L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</x:row>
  </x:sheetData>
  <x:pageMargins left="0.7" right="0.7" top="0.75" bottom="0.75" header="0.3" footer="0.3"/>
</x:worksheet>
</file>