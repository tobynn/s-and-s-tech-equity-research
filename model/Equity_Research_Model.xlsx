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7bd5e8d2f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345f34a1fe444c"/>
    <x:sheet xmlns:r="http://schemas.openxmlformats.org/officeDocument/2006/relationships" name="Actuals Sources" sheetId="2" r:id="R4aedc4f12e9b4598"/>
    <x:sheet xmlns:r="http://schemas.openxmlformats.org/officeDocument/2006/relationships" name="Inputs" sheetId="3" r:id="R566be0ed572149a1"/>
    <x:sheet xmlns:r="http://schemas.openxmlformats.org/officeDocument/2006/relationships" name="Forecast" sheetId="4" r:id="R0dcfc6966e194473"/>
    <x:sheet xmlns:r="http://schemas.openxmlformats.org/officeDocument/2006/relationships" name="Cash Equity Bridge" sheetId="5" r:id="R055876122b8c4ea5"/>
    <x:sheet xmlns:r="http://schemas.openxmlformats.org/officeDocument/2006/relationships" name="DCF" sheetId="6" r:id="Rfa1c9ccd724849e8"/>
    <x:sheet xmlns:r="http://schemas.openxmlformats.org/officeDocument/2006/relationships" name="RIM" sheetId="7" r:id="Rc34e75c570ec429a"/>
    <x:sheet xmlns:r="http://schemas.openxmlformats.org/officeDocument/2006/relationships" name="PER" sheetId="8" r:id="Rc0d38d74e11c41e2"/>
    <x:sheet xmlns:r="http://schemas.openxmlformats.org/officeDocument/2006/relationships" name="Diagnostics" sheetId="9" r:id="R1dd5f59f004a4540"/>
    <x:sheet xmlns:r="http://schemas.openxmlformats.org/officeDocument/2006/relationships" name="Special Cases" sheetId="10" r:id="R35538ae0f3ff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0.000000"/>
    <x:numFmt numFmtId="203" formatCode="#,##0"/>
  </x:numFmts>
  <x:fonts count="7">
    <x:font>
      <x:sz val="11"/>
      <x:name val="Carlito"/>
    </x:font>
    <x:font>
      <x:sz val="10"/>
      <x:color rgb="FF1B2535"/>
      <x:name val="NanumGothic"/>
    </x:font>
    <x:font>
      <x:b/>
      <x:sz val="15"/>
      <x:color rgb="FF126A73"/>
      <x:name val="NanumGothic"/>
    </x:font>
    <x:font>
      <x:sz val="10"/>
      <x:color rgb="FF127443"/>
      <x:name val="NanumGothic"/>
    </x:font>
    <x:font>
      <x:sz val="10"/>
      <x:color rgb="FF174FA8"/>
      <x:name val="NanumGothic"/>
    </x:font>
    <x:font>
      <x:b/>
      <x:sz val="14"/>
      <x:color rgb="FF1B2535"/>
      <x:name val="NanumGothic"/>
    </x:font>
    <x:font>
      <x:b/>
      <x:sz val="10"/>
      <x:color rgb="FFFFFFFF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26A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442f168ea432e" /><Relationship Type="http://schemas.openxmlformats.org/officeDocument/2006/relationships/theme" Target="/xl/theme/theme1.xml" Id="Re6922a89fea94aee" /><Relationship Type="http://schemas.openxmlformats.org/officeDocument/2006/relationships/sharedStrings" Target="/xl/sharedStrings.xml" Id="R0ed4d3fb5ad9461e" /><Relationship Type="http://schemas.openxmlformats.org/officeDocument/2006/relationships/worksheet" Target="/xl/worksheets/sheet1.xml" Id="Rd8345f34a1fe444c" /><Relationship Type="http://schemas.openxmlformats.org/officeDocument/2006/relationships/worksheet" Target="/xl/worksheets/sheet2.xml" Id="R4aedc4f12e9b4598" /><Relationship Type="http://schemas.openxmlformats.org/officeDocument/2006/relationships/worksheet" Target="/xl/worksheets/sheet3.xml" Id="R566be0ed572149a1" /><Relationship Type="http://schemas.openxmlformats.org/officeDocument/2006/relationships/worksheet" Target="/xl/worksheets/sheet4.xml" Id="R0dcfc6966e194473" /><Relationship Type="http://schemas.openxmlformats.org/officeDocument/2006/relationships/worksheet" Target="/xl/worksheets/sheet5.xml" Id="R055876122b8c4ea5" /><Relationship Type="http://schemas.openxmlformats.org/officeDocument/2006/relationships/worksheet" Target="/xl/worksheets/sheet6.xml" Id="Rfa1c9ccd724849e8" /><Relationship Type="http://schemas.openxmlformats.org/officeDocument/2006/relationships/worksheet" Target="/xl/worksheets/sheet7.xml" Id="Rc34e75c570ec429a" /><Relationship Type="http://schemas.openxmlformats.org/officeDocument/2006/relationships/worksheet" Target="/xl/worksheets/sheet8.xml" Id="Rc0d38d74e11c41e2" /><Relationship Type="http://schemas.openxmlformats.org/officeDocument/2006/relationships/worksheet" Target="/xl/worksheets/sheet9.xml" Id="R1dd5f59f004a4540" /><Relationship Type="http://schemas.openxmlformats.org/officeDocument/2006/relationships/worksheet" Target="/xl/worksheets/sheet10.xml" Id="R35538ae0f3ff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6A7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에스앤에스텍 Equity Research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 t="str">
        <x:v>Method</x:v>
      </x:c>
      <x:c r="D7" s="18" t="str">
        <x:v>KRW / share</x:v>
      </x:c>
      <x:c r="E7" s="18" t="str">
        <x:v>Role</x:v>
      </x:c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DCF</x:v>
      </x:c>
      <x:c r="D8" s="13" t="n">
        <x:f>DCF!D26</x:f>
        <x:v>26105.995540067102</x:v>
      </x:c>
      <x:c r="E8" s="4" t="str">
        <x:v>2026 year-end scenario</x:v>
      </x:c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PER</x:v>
      </x:c>
      <x:c r="D9" s="13" t="n">
        <x:f>PER!D39</x:f>
        <x:v>20359.078302587986</x:v>
      </x:c>
      <x:c r="E9" s="4" t="str">
        <x:v>Fundamental multiple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RIM</x:v>
      </x:c>
      <x:c r="D10" s="13" t="n">
        <x:f>RIM!D24</x:f>
        <x:v>19438.846622902478</x:v>
      </x:c>
      <x:c r="E10" s="4" t="str">
        <x:v>Excess return duration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Valuation date</x:v>
      </x:c>
      <x:c r="D13" s="4" t="str">
        <x:v>2026-12-31E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Financial statements</x:v>
      </x:c>
      <x:c r="D14" s="4" t="str">
        <x:v>2026-06-30A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Report version</x:v>
      </x:c>
      <x:c r="D15" s="4" t="str">
        <x:v>2026-10-18 v3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Reference price date</x:v>
      </x:c>
      <x:c r="D16" s="4" t="str">
        <x:v>2026-10-16 NAVER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Reference close KRW</x:v>
      </x:c>
      <x:c r="D17" s="9" t="n">
        <x:f>Inputs!$D$25</x:f>
        <x:v>43250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DCF / reference close - 1</x:v>
      </x:c>
      <x:c r="D18" s="5" t="n">
        <x:f>D8/D17-1</x:f>
        <x:v>-0.39639316670365077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RIM / DDM difference</x:v>
      </x:c>
      <x:c r="D19" s="9" t="n">
        <x:f>RIM!D25</x:f>
        <x:v>2.2737367544323206e-13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All forecast inputs are editable in Inputs.</x:v>
      </x:c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KRW bn. Share count is in millions.</x:v>
      </x:c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Naver reference price; exchange close not reconciled.</x:v>
      </x:c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Actuals Sources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2026H1 actual</x:v>
      </x:c>
      <x:c r="D8" s="19" t="str">
        <x:v>KRW bn / shares mn</x:v>
      </x:c>
      <x:c r="E8" s="19" t="str">
        <x:v>Source</x:v>
      </x:c>
      <x:c r="F8" s="19" t="str">
        <x:v>Account meaning</x:v>
      </x:c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Revenue H1</x:v>
      </x:c>
      <x:c r="D9" s="7" t="n">
        <x:v>128.106371358</x:v>
      </x:c>
      <x:c r="E9" s="4" t="str">
        <x:v>S01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Operating profit H1</x:v>
      </x:c>
      <x:c r="D10" s="7" t="n">
        <x:v>24.971051485</x:v>
      </x:c>
      <x:c r="E10" s="4" t="str">
        <x:v>S01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NI H1</x:v>
      </x:c>
      <x:c r="D11" s="7" t="n">
        <x:v>26.667214429</x:v>
      </x:c>
      <x:c r="E11" s="4" t="str">
        <x:v>S01</x:v>
      </x:c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equity</x:v>
      </x:c>
      <x:c r="D12" s="7" t="n">
        <x:v>335.439232758</x:v>
      </x:c>
      <x:c r="E12" s="4" t="str">
        <x:v>S01</x:v>
      </x:c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Non-controlling interests</x:v>
      </x:c>
      <x:c r="D13" s="7" t="n">
        <x:v>1.079850375</x:v>
      </x:c>
      <x:c r="E13" s="4" t="str">
        <x:v>S01</x:v>
      </x:c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Cash equivalents</x:v>
      </x:c>
      <x:c r="D14" s="7" t="n">
        <x:v>72.773480074</x:v>
      </x:c>
      <x:c r="E14" s="4" t="str">
        <x:v>S01</x:v>
      </x:c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Included financial assets</x:v>
      </x:c>
      <x:c r="D15" s="7" t="n">
        <x:v>5.031123287</x:v>
      </x:c>
      <x:c r="E15" s="4" t="str">
        <x:v>S01</x:v>
      </x:c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Borrowings / bonds</x:v>
      </x:c>
      <x:c r="D16" s="7" t="n">
        <x:v>13.867513194</x:v>
      </x:c>
      <x:c r="E16" s="4" t="str">
        <x:v>S01</x:v>
      </x:c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Additional lease debt</x:v>
      </x:c>
      <x:c r="D17" s="7" t="n">
        <x:v>0.971900304</x:v>
      </x:c>
      <x:c r="E17" s="4" t="str">
        <x:v>S01</x:v>
      </x:c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Operating NWC</x:v>
      </x:c>
      <x:c r="D18" s="7" t="n">
        <x:v>84.190119122</x:v>
      </x:c>
      <x:c r="E18" s="4" t="str">
        <x:v>S01</x:v>
      </x:c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D&amp;A H1</x:v>
      </x:c>
      <x:c r="D19" s="7" t="n">
        <x:v>8.151345808</x:v>
      </x:c>
      <x:c r="E19" s="4" t="str">
        <x:v>S01</x:v>
      </x:c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Asset investment H1</x:v>
      </x:c>
      <x:c r="D20" s="7" t="n">
        <x:v>30.819602261</x:v>
      </x:c>
      <x:c r="E20" s="4" t="str">
        <x:v>S01</x:v>
      </x:c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CFO as filed</x:v>
      </x:c>
      <x:c r="D21" s="7" t="n">
        <x:v>22.886765719</x:v>
      </x:c>
      <x:c r="E21" s="4" t="str">
        <x:v>S01</x:v>
      </x:c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Economic shares (million)</x:v>
      </x:c>
      <x:c r="D22" s="8" t="n">
        <x:v>21.07575</x:v>
      </x:c>
      <x:c r="E22" s="4" t="str">
        <x:v>S03</x:v>
      </x:c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Non-operating assets</x:v>
      </x:c>
      <x:c r="D23" s="7" t="n">
        <x:v>0</x:v>
      </x:c>
      <x:c r="E23" s="4" t="str">
        <x:v>S01</x:v>
      </x:c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Group NI H1</x:v>
      </x:c>
      <x:c r="D24" s="7" t="n">
        <x:v>26.536020431</x:v>
      </x:c>
      <x:c r="E24" s="4" t="str">
        <x:v>S01</x:v>
      </x:c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Forecast parent NI factor</x:v>
      </x:c>
      <x:c r="D25" s="5" t="n">
        <x:f>MIN(1,D11/D24)</x:f>
        <x:v>1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7" customHeight="1">
      <x:c r="A27" s="1"/>
      <x:c r="B27" s="1"/>
      <x:c r="C27" s="18" t="str">
        <x:v>Source</x:v>
      </x:c>
      <x:c r="D27" s="19" t="str">
        <x:v>Publisher</x:v>
      </x:c>
      <x:c r="E27" s="19" t="str">
        <x:v>Title</x:v>
      </x:c>
      <x:c r="F27" s="19" t="str">
        <x:v>URL</x:v>
      </x:c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 t="str">
        <x:v>S01</x:v>
      </x:c>
      <x:c r="D28" s="4" t="str">
        <x:v>DART</x:v>
      </x:c>
      <x:c r="E28" s="4" t="str">
        <x:v>2026 반기 연결재무제표</x:v>
      </x:c>
      <x:c r="F28" s="4" t="str">
        <x:v>https://dart.fss.or.kr/report/viewer.do?rcpNo=20260813000645&amp;dcmNo=11523270&amp;eleId=19&amp;offset=230355&amp;length=192636&amp;dtd=dart4.xsd</x:v>
      </x:c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 t="str">
        <x:v>S02</x:v>
      </x:c>
      <x:c r="D29" s="4" t="str">
        <x:v>DART</x:v>
      </x:c>
      <x:c r="E29" s="4" t="str">
        <x:v>2026 반기 연결재무제표 주석</x:v>
      </x:c>
      <x:c r="F29" s="4" t="str">
        <x:v>https://dart.fss.or.kr/report/viewer.do?rcpNo=20260813000645&amp;dcmNo=11523270&amp;eleId=24&amp;offset=422995&amp;length=1582160&amp;dtd=dart4.xsd</x:v>
      </x:c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 t="str">
        <x:v>S03</x:v>
      </x:c>
      <x:c r="D30" s="4" t="str">
        <x:v>DART</x:v>
      </x:c>
      <x:c r="E30" s="4" t="str">
        <x:v>2026 반기 주식의 총수</x:v>
      </x:c>
      <x:c r="F30" s="4" t="str">
        <x:v>https://dart.fss.or.kr/report/viewer.do?rcpNo=20260813000645&amp;dcmNo=11523270&amp;eleId=7&amp;offset=69445&amp;length=66931&amp;dtd=dart4.xsd</x:v>
      </x:c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 t="str">
        <x:v>S04</x:v>
      </x:c>
      <x:c r="D31" s="4" t="str">
        <x:v>에스앤에스텍</x:v>
      </x:c>
      <x:c r="E31" s="4" t="str">
        <x:v>2023~2025 재무정보</x:v>
      </x:c>
      <x:c r="F31" s="4" t="str">
        <x:v>https://snstech.co.kr/ko/ir/financial</x:v>
      </x:c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S05</x:v>
      </x:c>
      <x:c r="D32" s="4" t="str">
        <x:v>에스앤에스텍</x:v>
      </x:c>
      <x:c r="E32" s="4" t="str">
        <x:v>EUV 테스트 관련 기사 보관</x:v>
      </x:c>
      <x:c r="F32" s="4" t="str">
        <x:v>https://snstech.co.kr/ko/pr/news?cat=press</x:v>
      </x:c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 t="str">
        <x:v>S06</x:v>
      </x:c>
      <x:c r="D33" s="4" t="str">
        <x:v>HOYA</x:v>
      </x:c>
      <x:c r="E33" s="4" t="str">
        <x:v>블랭크마스크 사업</x:v>
      </x:c>
      <x:c r="F33" s="4" t="str">
        <x:v>https://www.hoya.com/ir/2026/en/review/it.html</x:v>
      </x:c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 t="str">
        <x:v>S07</x:v>
      </x:c>
      <x:c r="D34" s="4" t="str">
        <x:v>Photronics</x:v>
      </x:c>
      <x:c r="E34" s="4" t="str">
        <x:v>포토마스크 제품</x:v>
      </x:c>
      <x:c r="F34" s="4" t="str">
        <x:v>https://www.photronics.com/products/</x:v>
      </x:c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M01</x:v>
      </x:c>
      <x:c r="D35" s="4" t="str">
        <x:v>NYU Stern, Aswath Damodaran</x:v>
      </x:c>
      <x:c r="E35" s="4" t="str">
        <x:v>PER의 성장·ROE·배당·위험 관계</x:v>
      </x:c>
      <x:c r="F35" s="4" t="str">
        <x:v>https://pages.stern.nyu.edu/~adamodar/New_Home_Page/invfables/peratio.htm</x:v>
      </x:c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M02</x:v>
      </x:c>
      <x:c r="D36" s="4" t="str">
        <x:v>NYU Stern, Aswath Damodaran</x:v>
      </x:c>
      <x:c r="E36" s="4" t="str">
        <x:v>성숙기 재투자와 잔존가치</x:v>
      </x:c>
      <x:c r="F36" s="4" t="str">
        <x:v>https://pages.stern.nyu.edu/~adamodar/New_Home_Page/valquestions/termvalueexreturns.htm</x:v>
      </x:c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PX01</x:v>
      </x:c>
      <x:c r="D37" s="4" t="str">
        <x:v>NAVER Finance</x:v>
      </x:c>
      <x:c r="E37" s="4" t="str">
        <x:v>2026-10-16 일별시세 참고 종가</x:v>
      </x:c>
      <x:c r="F37" s="4" t="str">
        <x:v>https://api.finance.naver.com/siseJson.naver?symbol=101490&amp;requestType=1&amp;startTime=20261016&amp;endTime=20261016&amp;timeframe=day</x:v>
      </x:c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3A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Inputs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 t="str">
        <x:v>Case selected</x:v>
      </x:c>
      <x:c r="D3" s="1" t="str">
        <x:v>Base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v>One control in D3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8" t="str">
        <x:v>Input</x:v>
      </x:c>
      <x:c r="D8" s="19" t="str">
        <x:v>Active</x:v>
      </x:c>
      <x:c r="E8" s="19" t="str">
        <x:v>Bear</x:v>
      </x:c>
      <x:c r="F8" s="19" t="str">
        <x:v>Base</x:v>
      </x:c>
      <x:c r="G8" s="19" t="str">
        <x:v>Bull</x:v>
      </x:c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wacc</x:v>
      </x:c>
      <x:c r="D9" s="5" t="n">
        <x:f>IF($D$3="Bear",E9,IF($D$3="Bull",G9,F9))</x:f>
        <x:v>0.105</x:v>
      </x:c>
      <x:c r="E9" s="6" t="n">
        <x:v>0.12</x:v>
      </x:c>
      <x:c r="F9" s="6" t="n">
        <x:v>0.105</x:v>
      </x:c>
      <x:c r="G9" s="6" t="n">
        <x:v>0.1</x:v>
      </x:c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ke</x:v>
      </x:c>
      <x:c r="D10" s="5" t="n">
        <x:f>IF($D$3="Bear",E10,IF($D$3="Bull",G10,F10))</x:f>
        <x:v>0.11</x:v>
      </x:c>
      <x:c r="E10" s="6" t="n">
        <x:v>0.12</x:v>
      </x:c>
      <x:c r="F10" s="6" t="n">
        <x:v>0.11</x:v>
      </x:c>
      <x:c r="G10" s="6" t="n">
        <x:v>0.105</x:v>
      </x:c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g</x:v>
      </x:c>
      <x:c r="D11" s="5" t="n">
        <x:f>IF($D$3="Bear",E11,IF($D$3="Bull",G11,F11))</x:f>
        <x:v>0.02</x:v>
      </x:c>
      <x:c r="E11" s="6" t="n">
        <x:v>0.015</x:v>
      </x:c>
      <x:c r="F11" s="6" t="n">
        <x:v>0.02</x:v>
      </x:c>
      <x:c r="G11" s="6" t="n">
        <x:v>0.02</x:v>
      </x:c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roic</x:v>
      </x:c>
      <x:c r="D12" s="5" t="n">
        <x:f>IF($D$3="Bear",E12,IF($D$3="Bull",G12,F12))</x:f>
        <x:v>0.13</x:v>
      </x:c>
      <x:c r="E12" s="6" t="n">
        <x:v>0.12</x:v>
      </x:c>
      <x:c r="F12" s="6" t="n">
        <x:v>0.13</x:v>
      </x:c>
      <x:c r="G12" s="6" t="n">
        <x:v>0.15</x:v>
      </x:c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roe</x:v>
      </x:c>
      <x:c r="D13" s="5" t="n">
        <x:f>IF($D$3="Bear",E13,IF($D$3="Bull",G13,F13))</x:f>
        <x:v>0.12</x:v>
      </x:c>
      <x:c r="E13" s="6" t="n">
        <x:v>0.1</x:v>
      </x:c>
      <x:c r="F13" s="6" t="n">
        <x:v>0.12</x:v>
      </x:c>
      <x:c r="G13" s="6" t="n">
        <x:v>0.14</x:v>
      </x:c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payout</x:v>
      </x:c>
      <x:c r="D14" s="5" t="n">
        <x:f>IF($D$3="Bear",E14,IF($D$3="Bull",G14,F14))</x:f>
        <x:v>0.25</x:v>
      </x:c>
      <x:c r="E14" s="6" t="n">
        <x:v>0.25</x:v>
      </x:c>
      <x:c r="F14" s="6" t="n">
        <x:v>0.25</x:v>
      </x:c>
      <x:c r="G14" s="6" t="n">
        <x:v>0.25</x:v>
      </x:c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pergrowth</x:v>
      </x:c>
      <x:c r="D15" s="5" t="n">
        <x:f>IF($D$3="Bear",E15,IF($D$3="Bull",G15,F15))</x:f>
        <x:v>0.07</x:v>
      </x:c>
      <x:c r="E15" s="6" t="n">
        <x:v>0.03</x:v>
      </x:c>
      <x:c r="F15" s="6" t="n">
        <x:v>0.07</x:v>
      </x:c>
      <x:c r="G15" s="6" t="n">
        <x:v>0.1</x:v>
      </x:c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perroe</x:v>
      </x:c>
      <x:c r="D16" s="5" t="n">
        <x:f>IF($D$3="Bear",E16,IF($D$3="Bull",G16,F16))</x:f>
        <x:v>0.17</x:v>
      </x:c>
      <x:c r="E16" s="6" t="n">
        <x:v>0.12</x:v>
      </x:c>
      <x:c r="F16" s="6" t="n">
        <x:v>0.17</x:v>
      </x:c>
      <x:c r="G16" s="6" t="n">
        <x:v>0.2</x:v>
      </x:c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permargin</x:v>
      </x:c>
      <x:c r="D17" s="5" t="n">
        <x:f>IF($D$3="Bear",E17,IF($D$3="Bull",G17,F17))</x:f>
        <x:v>0.195</x:v>
      </x:c>
      <x:c r="E17" s="6" t="n">
        <x:v>0.175</x:v>
      </x:c>
      <x:c r="F17" s="6" t="n">
        <x:v>0.195</x:v>
      </x:c>
      <x:c r="G17" s="6" t="n">
        <x:v>0.21</x:v>
      </x:c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rev26</x:v>
      </x:c>
      <x:c r="D18" s="4" t="n">
        <x:f>IF($D$3="Bear",E18,IF($D$3="Bull",G18,F18))</x:f>
        <x:v>263.2</x:v>
      </x:c>
      <x:c r="E18" s="7" t="n">
        <x:v>253.5</x:v>
      </x:c>
      <x:c r="F18" s="7" t="n">
        <x:v>263.2</x:v>
      </x:c>
      <x:c r="G18" s="7" t="n">
        <x:v>275.4</x:v>
      </x:c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tax</x:v>
      </x:c>
      <x:c r="D19" s="5" t="n">
        <x:f>IF($D$3="Bear",E19,IF($D$3="Bull",G19,F19))</x:f>
        <x:v>0.24</x:v>
      </x:c>
      <x:c r="E19" s="6" t="n">
        <x:v>0.24</x:v>
      </x:c>
      <x:c r="F19" s="6" t="n">
        <x:v>0.24</x:v>
      </x:c>
      <x:c r="G19" s="6" t="n">
        <x:v>0.24</x:v>
      </x:c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interest</x:v>
      </x:c>
      <x:c r="D20" s="5" t="n">
        <x:f>IF($D$3="Bear",E20,IF($D$3="Bull",G20,F20))</x:f>
        <x:v>0.025</x:v>
      </x:c>
      <x:c r="E20" s="6" t="n">
        <x:v>0.025</x:v>
      </x:c>
      <x:c r="F20" s="6" t="n">
        <x:v>0.025</x:v>
      </x:c>
      <x:c r="G20" s="6" t="n">
        <x:v>0.025</x:v>
      </x:c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h2div</x:v>
      </x:c>
      <x:c r="D21" s="4" t="n">
        <x:f>IF($D$3="Bear",E21,IF($D$3="Bull",G21,F21))</x:f>
        <x:v>3</x:v>
      </x:c>
      <x:c r="E21" s="7" t="n">
        <x:v>3</x:v>
      </x:c>
      <x:c r="F21" s="7" t="n">
        <x:v>3</x:v>
      </x:c>
      <x:c r="G21" s="7" t="n">
        <x:v>3</x:v>
      </x:c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h2buyback</x:v>
      </x:c>
      <x:c r="D22" s="4" t="n">
        <x:f>IF($D$3="Bear",E22,IF($D$3="Bull",G22,F22))</x:f>
        <x:v>0</x:v>
      </x:c>
      <x:c r="E22" s="7" t="n">
        <x:v>0</x:v>
      </x:c>
      <x:c r="F22" s="7" t="n">
        <x:v>0</x:v>
      </x:c>
      <x:c r="G22" s="7" t="n">
        <x:v>0</x:v>
      </x:c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capital</x:v>
      </x:c>
      <x:c r="D23" s="4" t="n">
        <x:f>IF($D$3="Bear",E23,IF($D$3="Bull",G23,F23))</x:f>
        <x:v>0</x:v>
      </x:c>
      <x:c r="E23" s="7" t="n">
        <x:v>0</x:v>
      </x:c>
      <x:c r="F23" s="7" t="n">
        <x:v>0</x:v>
      </x:c>
      <x:c r="G23" s="7" t="n">
        <x:v>0</x:v>
      </x:c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addshares</x:v>
      </x:c>
      <x:c r="D24" s="4" t="n">
        <x:f>IF($D$3="Bear",E24,IF($D$3="Bull",G24,F24))</x:f>
        <x:v>0</x:v>
      </x:c>
      <x:c r="E24" s="7" t="n">
        <x:v>0</x:v>
      </x:c>
      <x:c r="F24" s="7" t="n">
        <x:v>0</x:v>
      </x:c>
      <x:c r="G24" s="7" t="n">
        <x:v>0</x:v>
      </x:c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reference_price</x:v>
      </x:c>
      <x:c r="D25" s="4" t="n">
        <x:f>IF($D$3="Bear",E25,IF($D$3="Bull",G25,F25))</x:f>
        <x:v>43250</x:v>
      </x:c>
      <x:c r="E25" s="7" t="n">
        <x:v>43250</x:v>
      </x:c>
      <x:c r="F25" s="7" t="n">
        <x:v>43250</x:v>
      </x:c>
      <x:c r="G25" s="7" t="n">
        <x:v>43250</x:v>
      </x:c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7" customHeight="1">
      <x:c r="A30" s="1"/>
      <x:c r="B30" s="1"/>
      <x:c r="C30" s="18"/>
      <x:c r="D30" s="19" t="n">
        <x:v>2026</x:v>
      </x:c>
      <x:c r="E30" s="19" t="n">
        <x:v>2027</x:v>
      </x:c>
      <x:c r="F30" s="19" t="n">
        <x:v>2028</x:v>
      </x:c>
      <x:c r="G30" s="19" t="n">
        <x:v>2029</x:v>
      </x:c>
      <x:c r="H30" s="19" t="n">
        <x:v>2030</x:v>
      </x:c>
      <x:c r="I30" s="19" t="n">
        <x:v>2031</x:v>
      </x:c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growth Active</x:v>
      </x:c>
      <x:c r="D32" s="5" t="n">
        <x:f>IF($D$3="Bear",D33,IF($D$3="Bull",D35,D34))</x:f>
        <x:v>0</x:v>
      </x:c>
      <x:c r="E32" s="5" t="n">
        <x:f>IF($D$3="Bear",E33,IF($D$3="Bull",E35,E34))</x:f>
        <x:v>0.08</x:v>
      </x:c>
      <x:c r="F32" s="5" t="n">
        <x:f>IF($D$3="Bear",F33,IF($D$3="Bull",F35,F34))</x:f>
        <x:v>0.08</x:v>
      </x:c>
      <x:c r="G32" s="5" t="n">
        <x:f>IF($D$3="Bear",G33,IF($D$3="Bull",G35,G34))</x:f>
        <x:v>0.07</x:v>
      </x:c>
      <x:c r="H32" s="5" t="n">
        <x:f>IF($D$3="Bear",H33,IF($D$3="Bull",H35,H34))</x:f>
        <x:v>0.06</x:v>
      </x:c>
      <x:c r="I32" s="5" t="n">
        <x:f>IF($D$3="Bear",I33,IF($D$3="Bull",I35,I34))</x:f>
        <x:v>0.05</x:v>
      </x:c>
      <x:c r="J32" s="1"/>
      <x:c r="K32" s="1"/>
      <x:c r="L32" s="1"/>
    </x:row>
    <x:row r="33" ht="22" customHeight="1">
      <x:c r="A33" s="1"/>
      <x:c r="B33" s="1"/>
      <x:c r="C33" s="1" t="str">
        <x:v>Bear</x:v>
      </x:c>
      <x:c r="D33" s="6" t="n">
        <x:v>0</x:v>
      </x:c>
      <x:c r="E33" s="6" t="n">
        <x:v>0.04</x:v>
      </x:c>
      <x:c r="F33" s="6" t="n">
        <x:v>0.04</x:v>
      </x:c>
      <x:c r="G33" s="6" t="n">
        <x:v>0.03</x:v>
      </x:c>
      <x:c r="H33" s="6" t="n">
        <x:v>0.03</x:v>
      </x:c>
      <x:c r="I33" s="6" t="n">
        <x:v>0.03</x:v>
      </x:c>
      <x:c r="J33" s="1"/>
      <x:c r="K33" s="1"/>
      <x:c r="L33" s="1"/>
    </x:row>
    <x:row r="34" ht="22" customHeight="1">
      <x:c r="A34" s="1"/>
      <x:c r="B34" s="1"/>
      <x:c r="C34" s="1" t="str">
        <x:v>Base</x:v>
      </x:c>
      <x:c r="D34" s="6" t="n">
        <x:v>0</x:v>
      </x:c>
      <x:c r="E34" s="6" t="n">
        <x:v>0.08</x:v>
      </x:c>
      <x:c r="F34" s="6" t="n">
        <x:v>0.08</x:v>
      </x:c>
      <x:c r="G34" s="6" t="n">
        <x:v>0.07</x:v>
      </x:c>
      <x:c r="H34" s="6" t="n">
        <x:v>0.06</x:v>
      </x:c>
      <x:c r="I34" s="6" t="n">
        <x:v>0.05</x:v>
      </x:c>
      <x:c r="J34" s="1"/>
      <x:c r="K34" s="1"/>
      <x:c r="L34" s="1"/>
    </x:row>
    <x:row r="35" ht="22" customHeight="1">
      <x:c r="A35" s="1"/>
      <x:c r="B35" s="1"/>
      <x:c r="C35" s="1" t="str">
        <x:v>Bull</x:v>
      </x:c>
      <x:c r="D35" s="6" t="n">
        <x:v>0</x:v>
      </x:c>
      <x:c r="E35" s="6" t="n">
        <x:v>0.13</x:v>
      </x:c>
      <x:c r="F35" s="6" t="n">
        <x:v>0.12</x:v>
      </x:c>
      <x:c r="G35" s="6" t="n">
        <x:v>0.1</x:v>
      </x:c>
      <x:c r="H35" s="6" t="n">
        <x:v>0.08</x:v>
      </x:c>
      <x:c r="I35" s="6" t="n">
        <x:v>0.06</x:v>
      </x:c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margin Active</x:v>
      </x:c>
      <x:c r="D37" s="5" t="n">
        <x:f>IF($D$3="Bear",D38,IF($D$3="Bull",D40,D39))</x:f>
        <x:v>0.195</x:v>
      </x:c>
      <x:c r="E37" s="5" t="n">
        <x:f>IF($D$3="Bear",E38,IF($D$3="Bull",E40,E39))</x:f>
        <x:v>0.195</x:v>
      </x:c>
      <x:c r="F37" s="5" t="n">
        <x:f>IF($D$3="Bear",F38,IF($D$3="Bull",F40,F39))</x:f>
        <x:v>0.2</x:v>
      </x:c>
      <x:c r="G37" s="5" t="n">
        <x:f>IF($D$3="Bear",G38,IF($D$3="Bull",G40,G39))</x:f>
        <x:v>0.2</x:v>
      </x:c>
      <x:c r="H37" s="5" t="n">
        <x:f>IF($D$3="Bear",H38,IF($D$3="Bull",H40,H39))</x:f>
        <x:v>0.2</x:v>
      </x:c>
      <x:c r="I37" s="5" t="n">
        <x:f>IF($D$3="Bear",I38,IF($D$3="Bull",I40,I39))</x:f>
        <x:v>0.2</x:v>
      </x:c>
      <x:c r="J37" s="1"/>
      <x:c r="K37" s="1"/>
      <x:c r="L37" s="1"/>
    </x:row>
    <x:row r="38" ht="22" customHeight="1">
      <x:c r="A38" s="1"/>
      <x:c r="B38" s="1"/>
      <x:c r="C38" s="1" t="str">
        <x:v>Bear</x:v>
      </x:c>
      <x:c r="D38" s="6" t="n">
        <x:v>0.18</x:v>
      </x:c>
      <x:c r="E38" s="6" t="n">
        <x:v>0.175</x:v>
      </x:c>
      <x:c r="F38" s="6" t="n">
        <x:v>0.175</x:v>
      </x:c>
      <x:c r="G38" s="6" t="n">
        <x:v>0.175</x:v>
      </x:c>
      <x:c r="H38" s="6" t="n">
        <x:v>0.175</x:v>
      </x:c>
      <x:c r="I38" s="6" t="n">
        <x:v>0.175</x:v>
      </x:c>
      <x:c r="J38" s="1"/>
      <x:c r="K38" s="1"/>
      <x:c r="L38" s="1"/>
    </x:row>
    <x:row r="39" ht="22" customHeight="1">
      <x:c r="A39" s="1"/>
      <x:c r="B39" s="1"/>
      <x:c r="C39" s="1" t="str">
        <x:v>Base</x:v>
      </x:c>
      <x:c r="D39" s="6" t="n">
        <x:v>0.195</x:v>
      </x:c>
      <x:c r="E39" s="6" t="n">
        <x:v>0.195</x:v>
      </x:c>
      <x:c r="F39" s="6" t="n">
        <x:v>0.2</x:v>
      </x:c>
      <x:c r="G39" s="6" t="n">
        <x:v>0.2</x:v>
      </x:c>
      <x:c r="H39" s="6" t="n">
        <x:v>0.2</x:v>
      </x:c>
      <x:c r="I39" s="6" t="n">
        <x:v>0.2</x:v>
      </x:c>
      <x:c r="J39" s="1"/>
      <x:c r="K39" s="1"/>
      <x:c r="L39" s="1"/>
    </x:row>
    <x:row r="40" ht="22" customHeight="1">
      <x:c r="A40" s="1"/>
      <x:c r="B40" s="1"/>
      <x:c r="C40" s="1" t="str">
        <x:v>Bull</x:v>
      </x:c>
      <x:c r="D40" s="6" t="n">
        <x:v>0.205</x:v>
      </x:c>
      <x:c r="E40" s="6" t="n">
        <x:v>0.21</x:v>
      </x:c>
      <x:c r="F40" s="6" t="n">
        <x:v>0.215</x:v>
      </x:c>
      <x:c r="G40" s="6" t="n">
        <x:v>0.215</x:v>
      </x:c>
      <x:c r="H40" s="6" t="n">
        <x:v>0.21</x:v>
      </x:c>
      <x:c r="I40" s="6" t="n">
        <x:v>0.21</x:v>
      </x:c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da Active</x:v>
      </x:c>
      <x:c r="D42" s="4" t="n">
        <x:f>IF($D$3="Bear",D43,IF($D$3="Bull",D45,D44))</x:f>
        <x:v>17</x:v>
      </x:c>
      <x:c r="E42" s="4" t="n">
        <x:f>IF($D$3="Bear",E43,IF($D$3="Bull",E45,E44))</x:f>
        <x:v>19</x:v>
      </x:c>
      <x:c r="F42" s="4" t="n">
        <x:f>IF($D$3="Bear",F43,IF($D$3="Bull",F45,F44))</x:f>
        <x:v>21</x:v>
      </x:c>
      <x:c r="G42" s="4" t="n">
        <x:f>IF($D$3="Bear",G43,IF($D$3="Bull",G45,G44))</x:f>
        <x:v>23</x:v>
      </x:c>
      <x:c r="H42" s="4" t="n">
        <x:f>IF($D$3="Bear",H43,IF($D$3="Bull",H45,H44))</x:f>
        <x:v>25</x:v>
      </x:c>
      <x:c r="I42" s="4" t="n">
        <x:f>IF($D$3="Bear",I43,IF($D$3="Bull",I45,I44))</x:f>
        <x:v>27</x:v>
      </x:c>
      <x:c r="J42" s="1"/>
      <x:c r="K42" s="1"/>
      <x:c r="L42" s="1"/>
    </x:row>
    <x:row r="43" ht="22" customHeight="1">
      <x:c r="A43" s="1"/>
      <x:c r="B43" s="1"/>
      <x:c r="C43" s="1" t="str">
        <x:v>Bear</x:v>
      </x:c>
      <x:c r="D43" s="7" t="n">
        <x:v>17</x:v>
      </x:c>
      <x:c r="E43" s="7" t="n">
        <x:v>19</x:v>
      </x:c>
      <x:c r="F43" s="7" t="n">
        <x:v>21</x:v>
      </x:c>
      <x:c r="G43" s="7" t="n">
        <x:v>23</x:v>
      </x:c>
      <x:c r="H43" s="7" t="n">
        <x:v>25</x:v>
      </x:c>
      <x:c r="I43" s="7" t="n">
        <x:v>27</x:v>
      </x:c>
      <x:c r="J43" s="1"/>
      <x:c r="K43" s="1"/>
      <x:c r="L43" s="1"/>
    </x:row>
    <x:row r="44" ht="22" customHeight="1">
      <x:c r="A44" s="1"/>
      <x:c r="B44" s="1"/>
      <x:c r="C44" s="1" t="str">
        <x:v>Base</x:v>
      </x:c>
      <x:c r="D44" s="7" t="n">
        <x:v>17</x:v>
      </x:c>
      <x:c r="E44" s="7" t="n">
        <x:v>19</x:v>
      </x:c>
      <x:c r="F44" s="7" t="n">
        <x:v>21</x:v>
      </x:c>
      <x:c r="G44" s="7" t="n">
        <x:v>23</x:v>
      </x:c>
      <x:c r="H44" s="7" t="n">
        <x:v>25</x:v>
      </x:c>
      <x:c r="I44" s="7" t="n">
        <x:v>27</x:v>
      </x:c>
      <x:c r="J44" s="1"/>
      <x:c r="K44" s="1"/>
      <x:c r="L44" s="1"/>
    </x:row>
    <x:row r="45" ht="22" customHeight="1">
      <x:c r="A45" s="1"/>
      <x:c r="B45" s="1"/>
      <x:c r="C45" s="1" t="str">
        <x:v>Bull</x:v>
      </x:c>
      <x:c r="D45" s="7" t="n">
        <x:v>17</x:v>
      </x:c>
      <x:c r="E45" s="7" t="n">
        <x:v>20</x:v>
      </x:c>
      <x:c r="F45" s="7" t="n">
        <x:v>23</x:v>
      </x:c>
      <x:c r="G45" s="7" t="n">
        <x:v>26</x:v>
      </x:c>
      <x:c r="H45" s="7" t="n">
        <x:v>29</x:v>
      </x:c>
      <x:c r="I45" s="7" t="n">
        <x:v>32</x:v>
      </x:c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capex Active</x:v>
      </x:c>
      <x:c r="D47" s="4" t="n">
        <x:f>IF($D$3="Bear",D48,IF($D$3="Bull",D50,D49))</x:f>
        <x:v>55</x:v>
      </x:c>
      <x:c r="E47" s="4" t="n">
        <x:f>IF($D$3="Bear",E48,IF($D$3="Bull",E50,E49))</x:f>
        <x:v>30</x:v>
      </x:c>
      <x:c r="F47" s="4" t="n">
        <x:f>IF($D$3="Bear",F48,IF($D$3="Bull",F50,F49))</x:f>
        <x:v>28</x:v>
      </x:c>
      <x:c r="G47" s="4" t="n">
        <x:f>IF($D$3="Bear",G48,IF($D$3="Bull",G50,G49))</x:f>
        <x:v>27</x:v>
      </x:c>
      <x:c r="H47" s="4" t="n">
        <x:f>IF($D$3="Bear",H48,IF($D$3="Bull",H50,H49))</x:f>
        <x:v>28</x:v>
      </x:c>
      <x:c r="I47" s="4" t="n">
        <x:f>IF($D$3="Bear",I48,IF($D$3="Bull",I50,I49))</x:f>
        <x:v>30</x:v>
      </x:c>
      <x:c r="J47" s="1"/>
      <x:c r="K47" s="1"/>
      <x:c r="L47" s="1"/>
    </x:row>
    <x:row r="48" ht="22" customHeight="1">
      <x:c r="A48" s="1"/>
      <x:c r="B48" s="1"/>
      <x:c r="C48" s="1" t="str">
        <x:v>Bear</x:v>
      </x:c>
      <x:c r="D48" s="7" t="n">
        <x:v>60</x:v>
      </x:c>
      <x:c r="E48" s="7" t="n">
        <x:v>40</x:v>
      </x:c>
      <x:c r="F48" s="7" t="n">
        <x:v>35</x:v>
      </x:c>
      <x:c r="G48" s="7" t="n">
        <x:v>30</x:v>
      </x:c>
      <x:c r="H48" s="7" t="n">
        <x:v>30</x:v>
      </x:c>
      <x:c r="I48" s="7" t="n">
        <x:v>30</x:v>
      </x:c>
      <x:c r="J48" s="1"/>
      <x:c r="K48" s="1"/>
      <x:c r="L48" s="1"/>
    </x:row>
    <x:row r="49" ht="22" customHeight="1">
      <x:c r="A49" s="1"/>
      <x:c r="B49" s="1"/>
      <x:c r="C49" s="1" t="str">
        <x:v>Base</x:v>
      </x:c>
      <x:c r="D49" s="7" t="n">
        <x:v>55</x:v>
      </x:c>
      <x:c r="E49" s="7" t="n">
        <x:v>30</x:v>
      </x:c>
      <x:c r="F49" s="7" t="n">
        <x:v>28</x:v>
      </x:c>
      <x:c r="G49" s="7" t="n">
        <x:v>27</x:v>
      </x:c>
      <x:c r="H49" s="7" t="n">
        <x:v>28</x:v>
      </x:c>
      <x:c r="I49" s="7" t="n">
        <x:v>30</x:v>
      </x:c>
      <x:c r="J49" s="1"/>
      <x:c r="K49" s="1"/>
      <x:c r="L49" s="1"/>
    </x:row>
    <x:row r="50" ht="22" customHeight="1">
      <x:c r="A50" s="1"/>
      <x:c r="B50" s="1"/>
      <x:c r="C50" s="1" t="str">
        <x:v>Bull</x:v>
      </x:c>
      <x:c r="D50" s="7" t="n">
        <x:v>60</x:v>
      </x:c>
      <x:c r="E50" s="7" t="n">
        <x:v>38</x:v>
      </x:c>
      <x:c r="F50" s="7" t="n">
        <x:v>35</x:v>
      </x:c>
      <x:c r="G50" s="7" t="n">
        <x:v>33</x:v>
      </x:c>
      <x:c r="H50" s="7" t="n">
        <x:v>34</x:v>
      </x:c>
      <x:c r="I50" s="7" t="n">
        <x:v>36</x:v>
      </x:c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 t="str">
        <x:v>nwc Active</x:v>
      </x:c>
      <x:c r="D52" s="5" t="n">
        <x:f>IF($D$3="Bear",D53,IF($D$3="Bull",D55,D54))</x:f>
        <x:v>0.325</x:v>
      </x:c>
      <x:c r="E52" s="5" t="n">
        <x:f>IF($D$3="Bear",E53,IF($D$3="Bull",E55,E54))</x:f>
        <x:v>0.315</x:v>
      </x:c>
      <x:c r="F52" s="5" t="n">
        <x:f>IF($D$3="Bear",F53,IF($D$3="Bull",F55,F54))</x:f>
        <x:v>0.305</x:v>
      </x:c>
      <x:c r="G52" s="5" t="n">
        <x:f>IF($D$3="Bear",G53,IF($D$3="Bull",G55,G54))</x:f>
        <x:v>0.3</x:v>
      </x:c>
      <x:c r="H52" s="5" t="n">
        <x:f>IF($D$3="Bear",H53,IF($D$3="Bull",H55,H54))</x:f>
        <x:v>0.295</x:v>
      </x:c>
      <x:c r="I52" s="5" t="n">
        <x:f>IF($D$3="Bear",I53,IF($D$3="Bull",I55,I54))</x:f>
        <x:v>0.29</x:v>
      </x:c>
      <x:c r="J52" s="1"/>
      <x:c r="K52" s="1"/>
      <x:c r="L52" s="1"/>
    </x:row>
    <x:row r="53" ht="22" customHeight="1">
      <x:c r="A53" s="1"/>
      <x:c r="B53" s="1"/>
      <x:c r="C53" s="1" t="str">
        <x:v>Bear</x:v>
      </x:c>
      <x:c r="D53" s="6" t="n">
        <x:v>0.33</x:v>
      </x:c>
      <x:c r="E53" s="6" t="n">
        <x:v>0.33</x:v>
      </x:c>
      <x:c r="F53" s="6" t="n">
        <x:v>0.33</x:v>
      </x:c>
      <x:c r="G53" s="6" t="n">
        <x:v>0.33</x:v>
      </x:c>
      <x:c r="H53" s="6" t="n">
        <x:v>0.33</x:v>
      </x:c>
      <x:c r="I53" s="6" t="n">
        <x:v>0.33</x:v>
      </x:c>
      <x:c r="J53" s="1"/>
      <x:c r="K53" s="1"/>
      <x:c r="L53" s="1"/>
    </x:row>
    <x:row r="54" ht="22" customHeight="1">
      <x:c r="A54" s="1"/>
      <x:c r="B54" s="1"/>
      <x:c r="C54" s="1" t="str">
        <x:v>Base</x:v>
      </x:c>
      <x:c r="D54" s="6" t="n">
        <x:v>0.325</x:v>
      </x:c>
      <x:c r="E54" s="6" t="n">
        <x:v>0.315</x:v>
      </x:c>
      <x:c r="F54" s="6" t="n">
        <x:v>0.305</x:v>
      </x:c>
      <x:c r="G54" s="6" t="n">
        <x:v>0.3</x:v>
      </x:c>
      <x:c r="H54" s="6" t="n">
        <x:v>0.295</x:v>
      </x:c>
      <x:c r="I54" s="6" t="n">
        <x:v>0.29</x:v>
      </x:c>
      <x:c r="J54" s="1"/>
      <x:c r="K54" s="1"/>
      <x:c r="L54" s="1"/>
    </x:row>
    <x:row r="55" ht="22" customHeight="1">
      <x:c r="A55" s="1"/>
      <x:c r="B55" s="1"/>
      <x:c r="C55" s="1" t="str">
        <x:v>Bull</x:v>
      </x:c>
      <x:c r="D55" s="6" t="n">
        <x:v>0.32</x:v>
      </x:c>
      <x:c r="E55" s="6" t="n">
        <x:v>0.305</x:v>
      </x:c>
      <x:c r="F55" s="6" t="n">
        <x:v>0.295</x:v>
      </x:c>
      <x:c r="G55" s="6" t="n">
        <x:v>0.285</x:v>
      </x:c>
      <x:c r="H55" s="6" t="n">
        <x:v>0.28</x:v>
      </x:c>
      <x:c r="I55" s="6" t="n">
        <x:v>0.275</x:v>
      </x:c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 t="str">
        <x:v>Review inputs / conditional stresses</x:v>
      </x:c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 t="str">
        <x:v>margin_drop</x:v>
      </x:c>
      <x:c r="D60" s="6" t="n">
        <x:v>0.02</x:v>
      </x:c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 t="str">
        <x:v>extra_capex</x:v>
      </x:c>
      <x:c r="D61" s="6" t="n">
        <x:v>0.2</x:v>
      </x:c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 t="str">
        <x:v>eb_carrying_amount</x:v>
      </x:c>
      <x:c r="D62" s="7" t="n">
        <x:v>13.867513194</x:v>
      </x:c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 t="str">
        <x:v>eb_exchange_shares_mn</x:v>
      </x:c>
      <x:c r="D63" s="7" t="n">
        <x:v>0.244504</x:v>
      </x:c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 t="str">
        <x:v>euv_fcf_margins_0</x:v>
      </x:c>
      <x:c r="D64" s="6" t="n">
        <x:v>0.2</x:v>
      </x:c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 t="str">
        <x:v>euv_fcf_margins_1</x:v>
      </x:c>
      <x:c r="D65" s="6" t="n">
        <x:v>0.3</x:v>
      </x:c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 t="str">
        <x:v>Source: research_inputs.json; evidence in report section 06.</x:v>
      </x:c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2026</x:v>
      </x:c>
      <x:c r="E7" s="18" t="n">
        <x:v>2027</x:v>
      </x:c>
      <x:c r="F7" s="18" t="n">
        <x:v>2028</x:v>
      </x:c>
      <x:c r="G7" s="18" t="n">
        <x:v>2029</x:v>
      </x:c>
      <x:c r="H7" s="18" t="n">
        <x:v>2030</x:v>
      </x:c>
      <x:c r="I7" s="18" t="n">
        <x:v>2031</x:v>
      </x:c>
      <x:c r="J7" s="1"/>
      <x:c r="K7" s="1"/>
      <x:c r="L7" s="1"/>
    </x:row>
    <x:row r="8" ht="22" customHeight="1">
      <x:c r="A8" s="1"/>
      <x:c r="B8" s="1"/>
      <x:c r="C8" s="1" t="str">
        <x:v>Revenue</x:v>
      </x:c>
      <x:c r="D8" s="9" t="n">
        <x:f>Inputs!$D$18</x:f>
        <x:v>263.2</x:v>
      </x:c>
      <x:c r="E8" s="4" t="n">
        <x:f>D8*(1+E9)</x:f>
        <x:v>284.25600000000003</x:v>
      </x:c>
      <x:c r="F8" s="4" t="n">
        <x:f>E8*(1+F9)</x:f>
        <x:v>306.9964800000001</x:v>
      </x:c>
      <x:c r="G8" s="4" t="n">
        <x:f>F8*(1+G9)</x:f>
        <x:v>328.4862336000001</x:v>
      </x:c>
      <x:c r="H8" s="4" t="n">
        <x:f>G8*(1+H9)</x:f>
        <x:v>348.1954076160001</x:v>
      </x:c>
      <x:c r="I8" s="4" t="n">
        <x:f>H8*(1+I9)</x:f>
        <x:v>365.60517799680014</x:v>
      </x:c>
      <x:c r="J8" s="1"/>
      <x:c r="K8" s="1"/>
      <x:c r="L8" s="1"/>
    </x:row>
    <x:row r="9" ht="22" customHeight="1">
      <x:c r="A9" s="1"/>
      <x:c r="B9" s="1"/>
      <x:c r="C9" s="1" t="str">
        <x:v>Revenue growth</x:v>
      </x:c>
      <x:c r="D9" s="11" t="n">
        <x:f>Inputs!D32</x:f>
        <x:v>0</x:v>
      </x:c>
      <x:c r="E9" s="11" t="n">
        <x:f>Inputs!E32</x:f>
        <x:v>0.08</x:v>
      </x:c>
      <x:c r="F9" s="11" t="n">
        <x:f>Inputs!F32</x:f>
        <x:v>0.08</x:v>
      </x:c>
      <x:c r="G9" s="11" t="n">
        <x:f>Inputs!G32</x:f>
        <x:v>0.07</x:v>
      </x:c>
      <x:c r="H9" s="11" t="n">
        <x:f>Inputs!H32</x:f>
        <x:v>0.06</x:v>
      </x:c>
      <x:c r="I9" s="11" t="n">
        <x:f>Inputs!I32</x:f>
        <x:v>0.05</x:v>
      </x:c>
      <x:c r="J9" s="1"/>
      <x:c r="K9" s="1"/>
      <x:c r="L9" s="1"/>
    </x:row>
    <x:row r="10" ht="22" customHeight="1">
      <x:c r="A10" s="1"/>
      <x:c r="B10" s="1"/>
      <x:c r="C10" s="1" t="str">
        <x:v>Operating margin</x:v>
      </x:c>
      <x:c r="D10" s="11" t="n">
        <x:f>Inputs!D37</x:f>
        <x:v>0.195</x:v>
      </x:c>
      <x:c r="E10" s="11" t="n">
        <x:f>Inputs!E37</x:f>
        <x:v>0.195</x:v>
      </x:c>
      <x:c r="F10" s="11" t="n">
        <x:f>Inputs!F37</x:f>
        <x:v>0.2</x:v>
      </x:c>
      <x:c r="G10" s="11" t="n">
        <x:f>Inputs!G37</x:f>
        <x:v>0.2</x:v>
      </x:c>
      <x:c r="H10" s="11" t="n">
        <x:f>Inputs!H37</x:f>
        <x:v>0.2</x:v>
      </x:c>
      <x:c r="I10" s="11" t="n">
        <x:f>Inputs!I37</x:f>
        <x:v>0.2</x:v>
      </x:c>
      <x:c r="J10" s="1"/>
      <x:c r="K10" s="1"/>
      <x:c r="L10" s="1"/>
    </x:row>
    <x:row r="11" ht="22" customHeight="1">
      <x:c r="A11" s="1"/>
      <x:c r="B11" s="1"/>
      <x:c r="C11" s="1" t="str">
        <x:v>EBIT</x:v>
      </x:c>
      <x:c r="D11" s="4" t="n">
        <x:f>D8*D10</x:f>
        <x:v>51.324</x:v>
      </x:c>
      <x:c r="E11" s="4" t="n">
        <x:f>E8*E10</x:f>
        <x:v>55.42992000000001</x:v>
      </x:c>
      <x:c r="F11" s="4" t="n">
        <x:f>F8*F10</x:f>
        <x:v>61.39929600000002</x:v>
      </x:c>
      <x:c r="G11" s="4" t="n">
        <x:f>G8*G10</x:f>
        <x:v>65.69724672000002</x:v>
      </x:c>
      <x:c r="H11" s="4" t="n">
        <x:f>H8*H10</x:f>
        <x:v>69.63908152320003</x:v>
      </x:c>
      <x:c r="I11" s="4" t="n">
        <x:f>I8*I10</x:f>
        <x:v>73.12103559936003</x:v>
      </x:c>
      <x:c r="J11" s="1"/>
      <x:c r="K11" s="1"/>
      <x:c r="L11" s="1"/>
    </x:row>
    <x:row r="12" ht="22" customHeight="1">
      <x:c r="A12" s="1"/>
      <x:c r="B12" s="1"/>
      <x:c r="C12" s="1" t="str">
        <x:v>Tax rate</x:v>
      </x:c>
      <x:c r="D12" s="11" t="n">
        <x:f>Inputs!$D$19</x:f>
        <x:v>0.24</x:v>
      </x:c>
      <x:c r="E12" s="11" t="n">
        <x:f>Inputs!$D$19</x:f>
        <x:v>0.24</x:v>
      </x:c>
      <x:c r="F12" s="11" t="n">
        <x:f>Inputs!$D$19</x:f>
        <x:v>0.24</x:v>
      </x:c>
      <x:c r="G12" s="11" t="n">
        <x:f>Inputs!$D$19</x:f>
        <x:v>0.24</x:v>
      </x:c>
      <x:c r="H12" s="11" t="n">
        <x:f>Inputs!$D$19</x:f>
        <x:v>0.24</x:v>
      </x:c>
      <x:c r="I12" s="11" t="n">
        <x:f>Inputs!$D$19</x:f>
        <x:v>0.24</x:v>
      </x:c>
      <x:c r="J12" s="1"/>
      <x:c r="K12" s="1"/>
      <x:c r="L12" s="1"/>
    </x:row>
    <x:row r="13" ht="22" customHeight="1">
      <x:c r="A13" s="1"/>
      <x:c r="B13" s="1"/>
      <x:c r="C13" s="1" t="str">
        <x:v>NOPAT</x:v>
      </x:c>
      <x:c r="D13" s="4" t="n">
        <x:f>D11*(1-D12)</x:f>
        <x:v>39.00624</x:v>
      </x:c>
      <x:c r="E13" s="4" t="n">
        <x:f>E11*(1-E12)</x:f>
        <x:v>42.12673920000001</x:v>
      </x:c>
      <x:c r="F13" s="4" t="n">
        <x:f>F11*(1-F12)</x:f>
        <x:v>46.66346496000001</x:v>
      </x:c>
      <x:c r="G13" s="4" t="n">
        <x:f>G11*(1-G12)</x:f>
        <x:v>49.92990750720002</x:v>
      </x:c>
      <x:c r="H13" s="4" t="n">
        <x:f>H11*(1-H12)</x:f>
        <x:v>52.92570195763203</x:v>
      </x:c>
      <x:c r="I13" s="4" t="n">
        <x:f>I11*(1-I12)</x:f>
        <x:v>55.571987055513624</x:v>
      </x:c>
      <x:c r="J13" s="1"/>
      <x:c r="K13" s="1"/>
      <x:c r="L13" s="1"/>
    </x:row>
    <x:row r="14" ht="22" customHeight="1">
      <x:c r="A14" s="1"/>
      <x:c r="B14" s="1"/>
      <x:c r="C14" s="1" t="str">
        <x:v>D&amp;A</x:v>
      </x:c>
      <x:c r="D14" s="9" t="n">
        <x:f>Inputs!D42</x:f>
        <x:v>17</x:v>
      </x:c>
      <x:c r="E14" s="9" t="n">
        <x:f>Inputs!E42</x:f>
        <x:v>19</x:v>
      </x:c>
      <x:c r="F14" s="9" t="n">
        <x:f>Inputs!F42</x:f>
        <x:v>21</x:v>
      </x:c>
      <x:c r="G14" s="9" t="n">
        <x:f>Inputs!G42</x:f>
        <x:v>23</x:v>
      </x:c>
      <x:c r="H14" s="9" t="n">
        <x:f>Inputs!H42</x:f>
        <x:v>25</x:v>
      </x:c>
      <x:c r="I14" s="9" t="n">
        <x:f>Inputs!I42</x:f>
        <x:v>27</x:v>
      </x:c>
      <x:c r="J14" s="1"/>
      <x:c r="K14" s="1"/>
      <x:c r="L14" s="1"/>
    </x:row>
    <x:row r="15" ht="22" customHeight="1">
      <x:c r="A15" s="1"/>
      <x:c r="B15" s="1"/>
      <x:c r="C15" s="1" t="str">
        <x:v>CAPEX</x:v>
      </x:c>
      <x:c r="D15" s="9" t="n">
        <x:f>Inputs!D47</x:f>
        <x:v>55</x:v>
      </x:c>
      <x:c r="E15" s="9" t="n">
        <x:f>Inputs!E47</x:f>
        <x:v>30</x:v>
      </x:c>
      <x:c r="F15" s="9" t="n">
        <x:f>Inputs!F47</x:f>
        <x:v>28</x:v>
      </x:c>
      <x:c r="G15" s="9" t="n">
        <x:f>Inputs!G47</x:f>
        <x:v>27</x:v>
      </x:c>
      <x:c r="H15" s="9" t="n">
        <x:f>Inputs!H47</x:f>
        <x:v>28</x:v>
      </x:c>
      <x:c r="I15" s="9" t="n">
        <x:f>Inputs!I47</x:f>
        <x:v>30</x:v>
      </x:c>
      <x:c r="J15" s="1"/>
      <x:c r="K15" s="1"/>
      <x:c r="L15" s="1"/>
    </x:row>
    <x:row r="16" ht="22" customHeight="1">
      <x:c r="A16" s="1"/>
      <x:c r="B16" s="1"/>
      <x:c r="C16" s="1" t="str">
        <x:v>NWC / annual sales</x:v>
      </x:c>
      <x:c r="D16" s="11" t="n">
        <x:f>Inputs!D52</x:f>
        <x:v>0.325</x:v>
      </x:c>
      <x:c r="E16" s="11" t="n">
        <x:f>Inputs!E52</x:f>
        <x:v>0.315</x:v>
      </x:c>
      <x:c r="F16" s="11" t="n">
        <x:f>Inputs!F52</x:f>
        <x:v>0.305</x:v>
      </x:c>
      <x:c r="G16" s="11" t="n">
        <x:f>Inputs!G52</x:f>
        <x:v>0.3</x:v>
      </x:c>
      <x:c r="H16" s="11" t="n">
        <x:f>Inputs!H52</x:f>
        <x:v>0.295</x:v>
      </x:c>
      <x:c r="I16" s="11" t="n">
        <x:f>Inputs!I52</x:f>
        <x:v>0.29</x:v>
      </x:c>
      <x:c r="J16" s="1"/>
      <x:c r="K16" s="1"/>
      <x:c r="L16" s="1"/>
    </x:row>
    <x:row r="17" ht="22" customHeight="1">
      <x:c r="A17" s="1"/>
      <x:c r="B17" s="1"/>
      <x:c r="C17" s="1" t="str">
        <x:v>Operating NWC</x:v>
      </x:c>
      <x:c r="D17" s="4" t="n">
        <x:f>D8*D16</x:f>
        <x:v>85.54</x:v>
      </x:c>
      <x:c r="E17" s="4" t="n">
        <x:f>E8*E16</x:f>
        <x:v>89.54064000000001</x:v>
      </x:c>
      <x:c r="F17" s="4" t="n">
        <x:f>F8*F16</x:f>
        <x:v>93.63392640000002</x:v>
      </x:c>
      <x:c r="G17" s="4" t="n">
        <x:f>G8*G16</x:f>
        <x:v>98.54587008000003</x:v>
      </x:c>
      <x:c r="H17" s="4" t="n">
        <x:f>H8*H16</x:f>
        <x:v>102.71764524672002</x:v>
      </x:c>
      <x:c r="I17" s="4" t="n">
        <x:f>I8*I16</x:f>
        <x:v>106.02550161907203</x:v>
      </x:c>
      <x:c r="J17" s="1"/>
      <x:c r="K17" s="1"/>
      <x:c r="L17" s="1"/>
    </x:row>
    <x:row r="18" ht="22" customHeight="1">
      <x:c r="A18" s="1"/>
      <x:c r="B18" s="1"/>
      <x:c r="C18" s="1" t="str">
        <x:v>Change in NWC</x:v>
      </x:c>
      <x:c r="D18" s="4"/>
      <x:c r="E18" s="4" t="n">
        <x:f>E17-D17</x:f>
        <x:v>4.000640000000004</x:v>
      </x:c>
      <x:c r="F18" s="4" t="n">
        <x:f>F17-E17</x:f>
        <x:v>4.093286400000011</x:v>
      </x:c>
      <x:c r="G18" s="4" t="n">
        <x:f>G17-F17</x:f>
        <x:v>4.911943680000007</x:v>
      </x:c>
      <x:c r="H18" s="4" t="n">
        <x:f>H17-G17</x:f>
        <x:v>4.171775166719996</x:v>
      </x:c>
      <x:c r="I18" s="4" t="n">
        <x:f>I17-H17</x:f>
        <x:v>3.3078563723520062</x:v>
      </x:c>
      <x:c r="J18" s="1"/>
      <x:c r="K18" s="1"/>
      <x:c r="L18" s="1"/>
    </x:row>
    <x:row r="19" ht="22" customHeight="1">
      <x:c r="A19" s="1"/>
      <x:c r="B19" s="1"/>
      <x:c r="C19" s="1" t="str">
        <x:v>FCFF</x:v>
      </x:c>
      <x:c r="D19" s="4"/>
      <x:c r="E19" s="4" t="n">
        <x:f>E13+E14-E15-E18</x:f>
        <x:v>27.126099200000006</x:v>
      </x:c>
      <x:c r="F19" s="4" t="n">
        <x:f>F13+F14-F15-F18</x:f>
        <x:v>35.57017856</x:v>
      </x:c>
      <x:c r="G19" s="4" t="n">
        <x:f>G13+G14-G15-G18</x:f>
        <x:v>41.01796382720002</x:v>
      </x:c>
      <x:c r="H19" s="4" t="n">
        <x:f>H13+H14-H15-H18</x:f>
        <x:v>45.75392679091203</x:v>
      </x:c>
      <x:c r="I19" s="4" t="n">
        <x:f>I13+I14-I15-I18</x:f>
        <x:v>49.264130683161625</x:v>
      </x:c>
      <x:c r="J19" s="1"/>
      <x:c r="K19" s="1"/>
      <x:c r="L19" s="1"/>
    </x:row>
    <x:row r="20" ht="22" customHeight="1">
      <x:c r="A20" s="1"/>
      <x:c r="B20" s="1"/>
      <x:c r="C20" s="1" t="str">
        <x:v>Cash return</x:v>
      </x:c>
      <x:c r="D20" s="9" t="n">
        <x:f>'Cash Equity Bridge'!D16</x:f>
        <x:v>0.7870648732875001</x:v>
      </x:c>
      <x:c r="E20" s="9" t="n">
        <x:f>D26*Inputs!$D$20</x:f>
        <x:v>1.6024717795671877</x:v>
      </x:c>
      <x:c r="F20" s="9" t="n">
        <x:f>E26*Inputs!$D$20</x:f>
        <x:v>2.047378485434072</x:v>
      </x:c>
      <x:c r="G20" s="9" t="n">
        <x:f>F26*Inputs!$D$20</x:f>
        <x:v>2.683374640035961</x:v>
      </x:c>
      <x:c r="H20" s="9" t="n">
        <x:f>G26*Inputs!$D$20</x:f>
        <x:v>3.4470750882966357</x:v>
      </x:c>
      <x:c r="I20" s="9" t="n">
        <x:f>H26*Inputs!$D$20</x:f>
        <x:v>4.324770278739798</x:v>
      </x:c>
      <x:c r="J20" s="1"/>
      <x:c r="K20" s="1"/>
      <x:c r="L20" s="1"/>
    </x:row>
    <x:row r="21" ht="22" customHeight="1">
      <x:c r="A21" s="1"/>
      <x:c r="B21" s="1"/>
      <x:c r="C21" s="1" t="str">
        <x:v>Parent net income</x:v>
      </x:c>
      <x:c r="D21" s="9" t="n">
        <x:f>'Actuals Sources'!$D$11+'Cash Equity Bridge'!D17</x:f>
        <x:v>47.482520173687504</x:v>
      </x:c>
      <x:c r="E21" s="4" t="n">
        <x:f>E13*E27+E20</x:f>
        <x:v>43.7292109795672</x:v>
      </x:c>
      <x:c r="F21" s="4" t="n">
        <x:f>F13*F27+F20</x:f>
        <x:v>48.71084344543409</x:v>
      </x:c>
      <x:c r="G21" s="4" t="n">
        <x:f>G13*G27+G20</x:f>
        <x:v>52.61328214723598</x:v>
      </x:c>
      <x:c r="H21" s="4" t="n">
        <x:f>H13*H27+H20</x:f>
        <x:v>56.372777045928665</x:v>
      </x:c>
      <x:c r="I21" s="4" t="n">
        <x:f>I13*I27+I20</x:f>
        <x:v>59.89675733425342</x:v>
      </x:c>
      <x:c r="J21" s="1"/>
      <x:c r="K21" s="1"/>
      <x:c r="L21" s="1"/>
    </x:row>
    <x:row r="22" ht="22" customHeight="1">
      <x:c r="A22" s="1"/>
      <x:c r="B22" s="1"/>
      <x:c r="C22" s="1" t="str">
        <x:v>EPS KRW</x:v>
      </x:c>
      <x:c r="D22" s="9" t="n">
        <x:f>D21*1000/'Cash Equity Bridge'!$D$23</x:f>
        <x:v>2252.9456922618415</x:v>
      </x:c>
      <x:c r="E22" s="9" t="n">
        <x:f>E21*1000/'Cash Equity Bridge'!$D$23</x:f>
        <x:v>2074.859066916584</x:v>
      </x:c>
      <x:c r="F22" s="9" t="n">
        <x:f>F21*1000/'Cash Equity Bridge'!$D$23</x:f>
        <x:v>2311.227047456631</x:v>
      </x:c>
      <x:c r="G22" s="9" t="n">
        <x:f>G21*1000/'Cash Equity Bridge'!$D$23</x:f>
        <x:v>2496.3895542144874</x:v>
      </x:c>
      <x:c r="H22" s="9" t="n">
        <x:f>H21*1000/'Cash Equity Bridge'!$D$23</x:f>
        <x:v>2674.7696782287067</x:v>
      </x:c>
      <x:c r="I22" s="9" t="n">
        <x:f>I21*1000/'Cash Equity Bridge'!$D$23</x:f>
        <x:v>2841.9751294380235</x:v>
      </x:c>
      <x:c r="J22" s="1"/>
      <x:c r="K22" s="1"/>
      <x:c r="L22" s="1"/>
    </x:row>
    <x:row r="23" ht="22" customHeight="1">
      <x:c r="A23" s="1"/>
      <x:c r="B23" s="1"/>
      <x:c r="C23" s="1" t="str">
        <x:v>Beginning parent book</x:v>
      </x:c>
      <x:c r="D23" s="4"/>
      <x:c r="E23" s="4" t="n">
        <x:f>D25</x:f>
        <x:v>353.2545385026875</x:v>
      </x:c>
      <x:c r="F23" s="4" t="n">
        <x:f>E25</x:f>
        <x:v>386.05144673736294</x:v>
      </x:c>
      <x:c r="G23" s="4" t="n">
        <x:f>F25</x:f>
        <x:v>422.58457932143847</x:v>
      </x:c>
      <x:c r="H23" s="4" t="n">
        <x:f>G25</x:f>
        <x:v>462.0445409318654</x:v>
      </x:c>
      <x:c r="I23" s="4" t="n">
        <x:f>H25</x:f>
        <x:v>504.3241237163119</x:v>
      </x:c>
      <x:c r="J23" s="1"/>
      <x:c r="K23" s="1"/>
      <x:c r="L23" s="1"/>
    </x:row>
    <x:row r="24" ht="22" customHeight="1">
      <x:c r="A24" s="1"/>
      <x:c r="B24" s="1"/>
      <x:c r="C24" s="1" t="str">
        <x:v>Dividends</x:v>
      </x:c>
      <x:c r="D24" s="9" t="n">
        <x:f>Inputs!$D$21</x:f>
        <x:v>3</x:v>
      </x:c>
      <x:c r="E24" s="9" t="n">
        <x:f>E21*Inputs!$D$14</x:f>
        <x:v>10.9323027448918</x:v>
      </x:c>
      <x:c r="F24" s="9" t="n">
        <x:f>F21*Inputs!$D$14</x:f>
        <x:v>12.177710861358522</x:v>
      </x:c>
      <x:c r="G24" s="9" t="n">
        <x:f>G21*Inputs!$D$14</x:f>
        <x:v>13.153320536808994</x:v>
      </x:c>
      <x:c r="H24" s="9" t="n">
        <x:f>H21*Inputs!$D$14</x:f>
        <x:v>14.093194261482166</x:v>
      </x:c>
      <x:c r="I24" s="9" t="n">
        <x:f>I21*Inputs!$D$14</x:f>
        <x:v>14.974189333563356</x:v>
      </x:c>
      <x:c r="J24" s="1"/>
      <x:c r="K24" s="1"/>
      <x:c r="L24" s="1"/>
    </x:row>
    <x:row r="25" ht="22" customHeight="1">
      <x:c r="A25" s="1"/>
      <x:c r="B25" s="1"/>
      <x:c r="C25" s="1" t="str">
        <x:v>Ending parent book</x:v>
      </x:c>
      <x:c r="D25" s="9" t="n">
        <x:f>'Cash Equity Bridge'!D22</x:f>
        <x:v>353.2545385026875</x:v>
      </x:c>
      <x:c r="E25" s="4" t="n">
        <x:f>E23+E21-E24</x:f>
        <x:v>386.05144673736294</x:v>
      </x:c>
      <x:c r="F25" s="4" t="n">
        <x:f>F23+F21-F24</x:f>
        <x:v>422.58457932143847</x:v>
      </x:c>
      <x:c r="G25" s="4" t="n">
        <x:f>G23+G21-G24</x:f>
        <x:v>462.0445409318654</x:v>
      </x:c>
      <x:c r="H25" s="4" t="n">
        <x:f>H23+H21-H24</x:f>
        <x:v>504.3241237163119</x:v>
      </x:c>
      <x:c r="I25" s="4" t="n">
        <x:f>I23+I21-I24</x:f>
        <x:v>549.2466917170019</x:v>
      </x:c>
      <x:c r="J25" s="1"/>
      <x:c r="K25" s="1"/>
      <x:c r="L25" s="1"/>
    </x:row>
    <x:row r="26" ht="22" customHeight="1">
      <x:c r="A26" s="1"/>
      <x:c r="B26" s="1"/>
      <x:c r="C26" s="1" t="str">
        <x:v>Ending net cash</x:v>
      </x:c>
      <x:c r="D26" s="9" t="n">
        <x:f>'Cash Equity Bridge'!D21</x:f>
        <x:v>64.0988711826875</x:v>
      </x:c>
      <x:c r="E26" s="4" t="n">
        <x:f>D26+E19+E20-E24</x:f>
        <x:v>81.89513941736288</x:v>
      </x:c>
      <x:c r="F26" s="4" t="n">
        <x:f>E26+F19+F20-F24</x:f>
        <x:v>107.33498560143843</x:v>
      </x:c>
      <x:c r="G26" s="4" t="n">
        <x:f>F26+G19+G20-G24</x:f>
        <x:v>137.88300353186543</x:v>
      </x:c>
      <x:c r="H26" s="4" t="n">
        <x:f>G26+H19+H20-H24</x:f>
        <x:v>172.99081114959193</x:v>
      </x:c>
      <x:c r="I26" s="4" t="n">
        <x:f>H26+I19+I20-I24</x:f>
        <x:v>211.60552277793002</x:v>
      </x:c>
      <x:c r="J26" s="1"/>
      <x:c r="K26" s="1"/>
      <x:c r="L26" s="1"/>
    </x:row>
    <x:row r="27" ht="22" customHeight="1">
      <x:c r="A27" s="1"/>
      <x:c r="B27" s="1"/>
      <x:c r="C27" s="1" t="str">
        <x:v>Parent allocation factor</x:v>
      </x:c>
      <x:c r="D27" s="11" t="n">
        <x:f>'Actuals Sources'!D25</x:f>
        <x:v>1</x:v>
      </x:c>
      <x:c r="E27" s="11" t="n">
        <x:f>'Actuals Sources'!D25</x:f>
        <x:v>1</x:v>
      </x:c>
      <x:c r="F27" s="11" t="n">
        <x:f>'Actuals Sources'!D25</x:f>
        <x:v>1</x:v>
      </x:c>
      <x:c r="G27" s="11" t="n">
        <x:f>'Actuals Sources'!D25</x:f>
        <x:v>1</x:v>
      </x:c>
      <x:c r="H27" s="11" t="n">
        <x:f>'Actuals Sources'!D25</x:f>
        <x:v>1</x:v>
      </x:c>
      <x:c r="I27" s="11" t="n">
        <x:f>'Actuals Sources'!D25</x:f>
        <x:v>1</x:v>
      </x:c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Equity Bridge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netcash_h1</x:v>
      </x:c>
      <x:c r="D8" s="9" t="n">
        <x:f>'Actuals Sources'!$D$14+'Actuals Sources'!$D$15-'Actuals Sources'!$D$16-'Actuals Sources'!$D$17</x:f>
        <x:v>62.965189863000006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h2_revenue</x:v>
      </x:c>
      <x:c r="D9" s="9" t="n">
        <x:f>Inputs!$D$18-'Actuals Sources'!$D$9</x:f>
        <x:v>135.093628642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h2_ebit</x:v>
      </x:c>
      <x:c r="D10" s="9" t="n">
        <x:f>Inputs!$D$18*Inputs!D37-'Actuals Sources'!$D$10</x:f>
        <x:v>26.352948514999998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h2_nopat</x:v>
      </x:c>
      <x:c r="D11" s="9" t="n">
        <x:f>D10*(1-Inputs!$D$19)</x:f>
        <x:v>20.028240871399998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h2_da</x:v>
      </x:c>
      <x:c r="D12" s="9" t="n">
        <x:f>Inputs!D42-'Actuals Sources'!$D$19</x:f>
        <x:v>8.848654192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h2_capex</x:v>
      </x:c>
      <x:c r="D13" s="9" t="n">
        <x:f>Inputs!D47-'Actuals Sources'!$D$20</x:f>
        <x:v>24.180397739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h2_delta_nwc</x:v>
      </x:c>
      <x:c r="D14" s="9" t="n">
        <x:f>Inputs!$D$18*Inputs!D52-'Actuals Sources'!$D$18</x:f>
        <x:v>1.3498808780000076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h2_fcff</x:v>
      </x:c>
      <x:c r="D15" s="4" t="n">
        <x:f>D11+D12-D13-D14</x:f>
        <x:v>3.3466164463999917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h2_interest</x:v>
      </x:c>
      <x:c r="D16" s="9" t="n">
        <x:f>D8*Inputs!$D$20*0.5</x:f>
        <x:v>0.7870648732875001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h2_ni</x:v>
      </x:c>
      <x:c r="D17" s="9" t="n">
        <x:f>D11*'Actuals Sources'!D25+D16</x:f>
        <x:v>20.8153057446875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h2_dividend</x:v>
      </x:c>
      <x:c r="D18" s="9" t="n">
        <x:f>Inputs!$D$21</x:f>
        <x:v>3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h2_buyback</x:v>
      </x:c>
      <x:c r="D19" s="9" t="n">
        <x:f>Inputs!$D$22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capital</x:v>
      </x:c>
      <x:c r="D20" s="9" t="n">
        <x:f>Inputs!$D$23</x:f>
        <x:v>0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netcash_2026e</x:v>
      </x:c>
      <x:c r="D21" s="4" t="n">
        <x:f>D8+D15+D16-D18-D19+D20</x:f>
        <x:v>64.0988711826875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book_2026e</x:v>
      </x:c>
      <x:c r="D22" s="9" t="n">
        <x:f>'Actuals Sources'!$D$12+D17-D18-D19+D20</x:f>
        <x:v>353.2545385026875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shares_mn</x:v>
      </x:c>
      <x:c r="D23" s="10" t="n">
        <x:f>'Actuals Sources'!$D$22+Inputs!$D$24</x:f>
        <x:v>21.07575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/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DCF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FCFF</x:v>
      </x:c>
      <x:c r="D8" s="9" t="n">
        <x:f>Forecast!E19</x:f>
        <x:v>27.126099200000006</x:v>
      </x:c>
      <x:c r="E8" s="9" t="n">
        <x:f>Forecast!F19</x:f>
        <x:v>35.57017856</x:v>
      </x:c>
      <x:c r="F8" s="9" t="n">
        <x:f>Forecast!G19</x:f>
        <x:v>41.01796382720002</x:v>
      </x:c>
      <x:c r="G8" s="9" t="n">
        <x:f>Forecast!H19</x:f>
        <x:v>45.75392679091203</x:v>
      </x:c>
      <x:c r="H8" s="9" t="n">
        <x:f>Forecast!I19</x:f>
        <x:v>49.264130683161625</x:v>
      </x:c>
      <x:c r="I8" s="4"/>
      <x:c r="J8" s="1"/>
      <x:c r="K8" s="1"/>
      <x:c r="L8" s="1"/>
    </x:row>
    <x:row r="9" ht="22" customHeight="1">
      <x:c r="A9" s="1"/>
      <x:c r="B9" s="1"/>
      <x:c r="C9" s="1" t="str">
        <x:v>Years from 2026 year-end</x:v>
      </x:c>
      <x:c r="D9" s="4" t="n">
        <x:v>1</x:v>
      </x:c>
      <x:c r="E9" s="4" t="n">
        <x:v>2</x:v>
      </x:c>
      <x:c r="F9" s="4" t="n">
        <x:v>3</x:v>
      </x:c>
      <x:c r="G9" s="4" t="n">
        <x:v>4</x:v>
      </x:c>
      <x:c r="H9" s="4" t="n">
        <x:v>5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Discount factor</x:v>
      </x:c>
      <x:c r="D10" s="9" t="n">
        <x:f>1/(1+Inputs!$D$9)^D9</x:f>
        <x:v>0.9049773755656109</x:v>
      </x:c>
      <x:c r="E10" s="9" t="n">
        <x:f>1/(1+Inputs!$D$9)^E9</x:f>
        <x:v>0.8189840502856207</x:v>
      </x:c>
      <x:c r="F10" s="9" t="n">
        <x:f>1/(1+Inputs!$D$9)^F9</x:f>
        <x:v>0.7411620364575753</x:v>
      </x:c>
      <x:c r="G10" s="9" t="n">
        <x:f>1/(1+Inputs!$D$9)^G9</x:f>
        <x:v>0.6707348746222401</x:v>
      </x:c>
      <x:c r="H10" s="9" t="n">
        <x:f>1/(1+Inputs!$D$9)^H9</x:f>
        <x:v>0.6069998865359639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PV FCFF</x:v>
      </x:c>
      <x:c r="D11" s="4" t="n">
        <x:f>D8*D10</x:f>
        <x:v>24.548506063348423</x:v>
      </x:c>
      <x:c r="E11" s="4" t="n">
        <x:f>E8*E10</x:f>
        <x:v>29.13140890645155</x:v>
      </x:c>
      <x:c r="F11" s="4" t="n">
        <x:f>F8*F10</x:f>
        <x:v>30.400957601510726</x:v>
      </x:c>
      <x:c r="G11" s="4" t="n">
        <x:f>G8*G10</x:f>
        <x:v>30.688754349577536</x:v>
      </x:c>
      <x:c r="H11" s="4" t="n">
        <x:f>H8*H10</x:f>
        <x:v>29.903321734972007</x:v>
      </x:c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PV explicit FCFF</x:v>
      </x:c>
      <x:c r="D15" s="4" t="n">
        <x:f>SUM(D11:H11)</x:f>
        <x:v>144.67294865586024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Terminal NOPAT</x:v>
      </x:c>
      <x:c r="D16" s="9" t="n">
        <x:f>Forecast!I13*(1+Inputs!$D$11)</x:f>
        <x:v>56.6834267966239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Terminal FCFF</x:v>
      </x:c>
      <x:c r="D17" s="9" t="n">
        <x:f>D16*(1-Inputs!$D$11/Inputs!$D$12)</x:f>
        <x:v>47.9628995971433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Terminal EV</x:v>
      </x:c>
      <x:c r="D18" s="9" t="n">
        <x:f>D17/(Inputs!$D$9-Inputs!$D$11)</x:f>
        <x:v>564.2694070252153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terminal EV</x:v>
      </x:c>
      <x:c r="D19" s="9" t="n">
        <x:f>D18/(1+Inputs!$D$9)^5</x:f>
        <x:v>342.51146604002133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Operating EV</x:v>
      </x:c>
      <x:c r="D20" s="4" t="n">
        <x:f>D15+D19</x:f>
        <x:v>487.18441469588157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2026E net cash</x:v>
      </x:c>
      <x:c r="D21" s="9" t="n">
        <x:f>'Cash Equity Bridge'!D21</x:f>
        <x:v>64.0988711826875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Non-operating assets</x:v>
      </x:c>
      <x:c r="D22" s="9" t="n">
        <x:f>'Actuals Sources'!$D$23</x:f>
        <x:v>0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NCI book proxy</x:v>
      </x:c>
      <x:c r="D23" s="9" t="n">
        <x:f>'Actuals Sources'!$D$13</x:f>
        <x:v>1.079850375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Parent equity value</x:v>
      </x:c>
      <x:c r="D24" s="4" t="n">
        <x:f>D20+D21+D22-D23</x:f>
        <x:v>550.2034355035692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Shares million</x:v>
      </x:c>
      <x:c r="D25" s="9" t="n">
        <x:f>'Cash Equity Bridge'!D23</x:f>
        <x:v>21.07575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DCF KRW/share</x:v>
      </x:c>
      <x:c r="D26" s="4" t="n">
        <x:f>D24*1000/D25</x:f>
        <x:v>26105.995540067102</x:v>
      </x:c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Terminal / EV</x:v>
      </x:c>
      <x:c r="D27" s="5" t="n">
        <x:f>D19/D20</x:f>
        <x:v>0.7030427405068563</x:v>
      </x:c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RIM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8"/>
      <x:c r="D7" s="18" t="n">
        <x:v>2027</x:v>
      </x:c>
      <x:c r="E7" s="18" t="n">
        <x:v>2028</x:v>
      </x:c>
      <x:c r="F7" s="18" t="n">
        <x:v>2029</x:v>
      </x:c>
      <x:c r="G7" s="18" t="n">
        <x:v>2030</x:v>
      </x:c>
      <x:c r="H7" s="18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Beginning parent book</x:v>
      </x:c>
      <x:c r="D8" s="9" t="n">
        <x:f>Forecast!E23</x:f>
        <x:v>353.2545385026875</x:v>
      </x:c>
      <x:c r="E8" s="9" t="n">
        <x:f>Forecast!F23</x:f>
        <x:v>386.05144673736294</x:v>
      </x:c>
      <x:c r="F8" s="9" t="n">
        <x:f>Forecast!G23</x:f>
        <x:v>422.58457932143847</x:v>
      </x:c>
      <x:c r="G8" s="9" t="n">
        <x:f>Forecast!H23</x:f>
        <x:v>462.0445409318654</x:v>
      </x:c>
      <x:c r="H8" s="9" t="n">
        <x:f>Forecast!I23</x:f>
        <x:v>504.3241237163119</x:v>
      </x:c>
      <x:c r="I8" s="4"/>
      <x:c r="J8" s="1"/>
      <x:c r="K8" s="1"/>
      <x:c r="L8" s="1"/>
    </x:row>
    <x:row r="9" ht="22" customHeight="1">
      <x:c r="A9" s="1"/>
      <x:c r="B9" s="1"/>
      <x:c r="C9" s="1" t="str">
        <x:v>Parent NI</x:v>
      </x:c>
      <x:c r="D9" s="9" t="n">
        <x:f>Forecast!E21</x:f>
        <x:v>43.7292109795672</x:v>
      </x:c>
      <x:c r="E9" s="9" t="n">
        <x:f>Forecast!F21</x:f>
        <x:v>48.71084344543409</x:v>
      </x:c>
      <x:c r="F9" s="9" t="n">
        <x:f>Forecast!G21</x:f>
        <x:v>52.61328214723598</x:v>
      </x:c>
      <x:c r="G9" s="9" t="n">
        <x:f>Forecast!H21</x:f>
        <x:v>56.372777045928665</x:v>
      </x:c>
      <x:c r="H9" s="9" t="n">
        <x:f>Forecast!I21</x:f>
        <x:v>59.89675733425342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Cost of equity</x:v>
      </x:c>
      <x:c r="D10" s="11" t="n">
        <x:f>Inputs!$D$10</x:f>
        <x:v>0.11</x:v>
      </x:c>
      <x:c r="E10" s="11" t="n">
        <x:f>Inputs!$D$10</x:f>
        <x:v>0.11</x:v>
      </x:c>
      <x:c r="F10" s="11" t="n">
        <x:f>Inputs!$D$10</x:f>
        <x:v>0.11</x:v>
      </x:c>
      <x:c r="G10" s="11" t="n">
        <x:f>Inputs!$D$10</x:f>
        <x:v>0.11</x:v>
      </x:c>
      <x:c r="H10" s="11" t="n">
        <x:f>Inputs!$D$10</x:f>
        <x:v>0.11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Equity charge</x:v>
      </x:c>
      <x:c r="D11" s="4" t="n">
        <x:f>D8*D10</x:f>
        <x:v>38.85799923529563</x:v>
      </x:c>
      <x:c r="E11" s="4" t="n">
        <x:f>E8*E10</x:f>
        <x:v>42.465659141109924</x:v>
      </x:c>
      <x:c r="F11" s="4" t="n">
        <x:f>F8*F10</x:f>
        <x:v>46.48430372535823</x:v>
      </x:c>
      <x:c r="G11" s="4" t="n">
        <x:f>G8*G10</x:f>
        <x:v>50.8248995025052</x:v>
      </x:c>
      <x:c r="H11" s="4" t="n">
        <x:f>H8*H10</x:f>
        <x:v>55.4756536087943</x:v>
      </x:c>
      <x:c r="I11" s="4"/>
      <x:c r="J11" s="1"/>
      <x:c r="K11" s="1"/>
      <x:c r="L11" s="1"/>
    </x:row>
    <x:row r="12" ht="22" customHeight="1">
      <x:c r="A12" s="1"/>
      <x:c r="B12" s="1"/>
      <x:c r="C12" s="1" t="str">
        <x:v>Residual income</x:v>
      </x:c>
      <x:c r="D12" s="4" t="n">
        <x:f>D9-D11</x:f>
        <x:v>4.871211744271569</x:v>
      </x:c>
      <x:c r="E12" s="4" t="n">
        <x:f>E9-E11</x:f>
        <x:v>6.245184304324162</x:v>
      </x:c>
      <x:c r="F12" s="4" t="n">
        <x:f>F9-F11</x:f>
        <x:v>6.128978421877747</x:v>
      </x:c>
      <x:c r="G12" s="4" t="n">
        <x:f>G9-G11</x:f>
        <x:v>5.547877543423468</x:v>
      </x:c>
      <x:c r="H12" s="4" t="n">
        <x:f>H9-H11</x:f>
        <x:v>4.421103725459119</x:v>
      </x:c>
      <x:c r="I12" s="4"/>
      <x:c r="J12" s="1"/>
      <x:c r="K12" s="1"/>
      <x:c r="L12" s="1"/>
    </x:row>
    <x:row r="13" ht="22" customHeight="1">
      <x:c r="A13" s="1"/>
      <x:c r="B13" s="1"/>
      <x:c r="C13" s="1" t="str">
        <x:v>Years</x:v>
      </x:c>
      <x:c r="D13" s="4" t="n">
        <x:v>1</x:v>
      </x:c>
      <x:c r="E13" s="4" t="n">
        <x:v>2</x:v>
      </x:c>
      <x:c r="F13" s="4" t="n">
        <x:v>3</x:v>
      </x:c>
      <x:c r="G13" s="4" t="n">
        <x:v>4</x:v>
      </x:c>
      <x:c r="H13" s="4" t="n">
        <x:v>5</x:v>
      </x:c>
      <x:c r="I13" s="4"/>
      <x:c r="J13" s="1"/>
      <x:c r="K13" s="1"/>
      <x:c r="L13" s="1"/>
    </x:row>
    <x:row r="14" ht="22" customHeight="1">
      <x:c r="A14" s="1"/>
      <x:c r="B14" s="1"/>
      <x:c r="C14" s="1" t="str">
        <x:v>PV residual income</x:v>
      </x:c>
      <x:c r="D14" s="4" t="n">
        <x:f>D12/(1+D10)^D13</x:f>
        <x:v>4.388479048893306</x:v>
      </x:c>
      <x:c r="E14" s="4" t="n">
        <x:f>E12/(1+E10)^E13</x:f>
        <x:v>5.068731681133156</x:v>
      </x:c>
      <x:c r="F14" s="4" t="n">
        <x:f>F12/(1+F10)^F13</x:f>
        <x:v>4.481456198256508</x:v>
      </x:c>
      <x:c r="G14" s="4" t="n">
        <x:f>G12/(1+G10)^G13</x:f>
        <x:v>3.654558778616511</x:v>
      </x:c>
      <x:c r="H14" s="4" t="n">
        <x:f>H12/(1+H10)^H13</x:f>
        <x:v>2.623709877358355</x:v>
      </x:c>
      <x:c r="I14" s="4"/>
      <x:c r="J14" s="1"/>
      <x:c r="K14" s="1"/>
      <x:c r="L14" s="1"/>
    </x:row>
    <x:row r="15" ht="22" customHeight="1">
      <x:c r="A15" s="1"/>
      <x:c r="B15" s="1"/>
      <x:c r="C15" s="1" t="str">
        <x:v>Ending parent book</x:v>
      </x:c>
      <x:c r="D15" s="9" t="n">
        <x:f>Forecast!E25</x:f>
        <x:v>386.05144673736294</x:v>
      </x:c>
      <x:c r="E15" s="9" t="n">
        <x:f>Forecast!F25</x:f>
        <x:v>422.58457932143847</x:v>
      </x:c>
      <x:c r="F15" s="9" t="n">
        <x:f>Forecast!G25</x:f>
        <x:v>462.0445409318654</x:v>
      </x:c>
      <x:c r="G15" s="9" t="n">
        <x:f>Forecast!H25</x:f>
        <x:v>504.3241237163119</x:v>
      </x:c>
      <x:c r="H15" s="9" t="n">
        <x:f>Forecast!I25</x:f>
        <x:v>549.2466917170019</x:v>
      </x:c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2026E parent book</x:v>
      </x:c>
      <x:c r="D18" s="9" t="n">
        <x:f>'Cash Equity Bridge'!D22</x:f>
        <x:v>353.2545385026875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explicit RI</x:v>
      </x:c>
      <x:c r="D19" s="4" t="n">
        <x:f>SUM(D14:H14)</x:f>
        <x:v>20.216935584257833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2032 residual income</x:v>
      </x:c>
      <x:c r="D20" s="9" t="n">
        <x:f>(Inputs!$D$13-Inputs!$D$10)*Forecast!I25</x:f>
        <x:v>5.492466917170017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PV terminal RI</x:v>
      </x:c>
      <x:c r="D21" s="9" t="n">
        <x:f>D20/(Inputs!$D$10-Inputs!$D$11)/(1+Inputs!$D$10)^5</x:f>
        <x:v>36.21679762569159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Parent equity value</x:v>
      </x:c>
      <x:c r="D22" s="4" t="n">
        <x:f>D18+D19+D21</x:f>
        <x:v>409.68827171263695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 million</x:v>
      </x:c>
      <x:c r="D23" s="9" t="n">
        <x:f>'Cash Equity Bridge'!D23</x:f>
        <x:v>21.07575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RIM KRW/share</x:v>
      </x:c>
      <x:c r="D24" s="4" t="n">
        <x:f>D22*1000/D23</x:f>
        <x:v>19438.846622902478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DDM identity difference</x:v>
      </x:c>
      <x:c r="D25" s="10" t="n">
        <x:f>D22-(Forecast!E24/(1+Inputs!$D$10)+Forecast!F24/(1+Inputs!$D$10)^2+Forecast!G24/(1+Inputs!$D$10)^3+Forecast!H24/(1+Inputs!$D$10)^4+Forecast!I24/(1+Inputs!$D$10)^5+(Forecast!I25+D20/(Inputs!$D$10-Inputs!$D$11))/(1+Inputs!$D$10)^5)</x:f>
        <x:v>2.2737367544323206e-13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PER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2027 revenue</x:v>
      </x:c>
      <x:c r="D8" s="9" t="n">
        <x:f>Forecast!E8</x:f>
        <x:v>284.25600000000003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operating margin</x:v>
      </x:c>
      <x:c r="D9" s="11" t="n">
        <x:f>Inputs!$D$17</x:f>
        <x:v>0.195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Normalized NOPAT</x:v>
      </x:c>
      <x:c r="D10" s="9" t="n">
        <x:f>D8*D9*(1-Forecast!E12)</x:f>
        <x:v>42.12673920000001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allocation</x:v>
      </x:c>
      <x:c r="D11" s="9" t="n">
        <x:f>Forecast!E27</x:f>
        <x:v>1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operating NI</x:v>
      </x:c>
      <x:c r="D12" s="4" t="n">
        <x:f>D10*D11</x:f>
        <x:v>42.12673920000001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Cash return</x:v>
      </x:c>
      <x:c r="D13" s="9" t="n">
        <x:f>'Cash Equity Bridge'!D21*Inputs!$D$20</x:f>
        <x:v>1.6024717795671877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Normalized parent NI</x:v>
      </x:c>
      <x:c r="D14" s="4" t="n">
        <x:f>D12+D13</x:f>
        <x:v>43.7292109795672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Normalized EPS</x:v>
      </x:c>
      <x:c r="D15" s="9" t="n">
        <x:f>D14*1000/'Cash Equity Bridge'!D23</x:f>
        <x:v>2074.859066916584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EPS growth 5 years</x:v>
      </x:c>
      <x:c r="D18" s="11" t="n">
        <x:f>Inputs!$D$15</x:f>
        <x:v>0.07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Incremental ROE</x:v>
      </x:c>
      <x:c r="D19" s="11" t="n">
        <x:f>Inputs!$D$16</x:f>
        <x:v>0.17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Growth phase payout</x:v>
      </x:c>
      <x:c r="D20" s="5" t="n">
        <x:f>1-D18/D19</x:f>
        <x:v>0.588235294117647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Stable growth</x:v>
      </x:c>
      <x:c r="D21" s="11" t="n">
        <x:f>Inputs!$D$11</x:f>
        <x:v>0.02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Stable ROE</x:v>
      </x:c>
      <x:c r="D22" s="11" t="n">
        <x:f>Inputs!$D$13</x:f>
        <x:v>0.12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Cost of equity</x:v>
      </x:c>
      <x:c r="D23" s="11" t="n">
        <x:f>Inputs!$D$10</x:f>
        <x:v>0.11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Stable payout</x:v>
      </x:c>
      <x:c r="D24" s="5" t="n">
        <x:f>1-D21/D22</x:f>
        <x:v>0.8333333333333333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Terminal forward PE</x:v>
      </x:c>
      <x:c r="D25" s="4" t="n">
        <x:f>D24/(D23-D21)</x:f>
        <x:v>9.25925925925926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7" customHeight="1">
      <x:c r="A29" s="1"/>
      <x:c r="B29" s="1"/>
      <x:c r="C29" s="18"/>
      <x:c r="D29" s="19" t="n">
        <x:v>2027</x:v>
      </x:c>
      <x:c r="E29" s="19" t="n">
        <x:v>2028</x:v>
      </x:c>
      <x:c r="F29" s="19" t="n">
        <x:v>2029</x:v>
      </x:c>
      <x:c r="G29" s="19" t="n">
        <x:v>2030</x:v>
      </x:c>
      <x:c r="H29" s="19" t="n">
        <x:v>2031</x:v>
      </x:c>
      <x:c r="I29" s="4"/>
      <x:c r="J29" s="1"/>
      <x:c r="K29" s="1"/>
      <x:c r="L29" s="1"/>
    </x:row>
    <x:row r="30" ht="22" customHeight="1">
      <x:c r="A30" s="1"/>
      <x:c r="B30" s="1"/>
      <x:c r="C30" s="1" t="str">
        <x:v>EPS / EPS_2027</x:v>
      </x:c>
      <x:c r="D30" s="4" t="n">
        <x:f>(1+$D$18)^0</x:f>
        <x:v>1</x:v>
      </x:c>
      <x:c r="E30" s="4" t="n">
        <x:f>(1+$D$18)^1</x:f>
        <x:v>1.07</x:v>
      </x:c>
      <x:c r="F30" s="4" t="n">
        <x:f>(1+$D$18)^2</x:f>
        <x:v>1.1449</x:v>
      </x:c>
      <x:c r="G30" s="4" t="n">
        <x:f>(1+$D$18)^3</x:f>
        <x:v>1.225043</x:v>
      </x:c>
      <x:c r="H30" s="4" t="n">
        <x:f>(1+$D$18)^4</x:f>
        <x:v>1.3107960100000002</x:v>
      </x:c>
      <x:c r="I30" s="4"/>
      <x:c r="J30" s="1"/>
      <x:c r="K30" s="1"/>
      <x:c r="L30" s="1"/>
    </x:row>
    <x:row r="31" ht="22" customHeight="1">
      <x:c r="A31" s="1"/>
      <x:c r="B31" s="1"/>
      <x:c r="C31" s="1" t="str">
        <x:v>Payout</x:v>
      </x:c>
      <x:c r="D31" s="4" t="n">
        <x:f>$D$20</x:f>
        <x:v>0.588235294117647</x:v>
      </x:c>
      <x:c r="E31" s="4" t="n">
        <x:f>$D$20</x:f>
        <x:v>0.588235294117647</x:v>
      </x:c>
      <x:c r="F31" s="4" t="n">
        <x:f>$D$20</x:f>
        <x:v>0.588235294117647</x:v>
      </x:c>
      <x:c r="G31" s="4" t="n">
        <x:f>$D$20</x:f>
        <x:v>0.588235294117647</x:v>
      </x:c>
      <x:c r="H31" s="4" t="n">
        <x:f>$D$20</x:f>
        <x:v>0.588235294117647</x:v>
      </x:c>
      <x:c r="I31" s="4"/>
      <x:c r="J31" s="1"/>
      <x:c r="K31" s="1"/>
      <x:c r="L31" s="1"/>
    </x:row>
    <x:row r="32" ht="22" customHeight="1">
      <x:c r="A32" s="1"/>
      <x:c r="B32" s="1"/>
      <x:c r="C32" s="1" t="str">
        <x:v>Discount factor</x:v>
      </x:c>
      <x:c r="D32" s="4" t="n">
        <x:f>1/(1+$D$23)^1</x:f>
        <x:v>0.9009009009009008</x:v>
      </x:c>
      <x:c r="E32" s="4" t="n">
        <x:f>1/(1+$D$23)^2</x:f>
        <x:v>0.8116224332440547</x:v>
      </x:c>
      <x:c r="F32" s="4" t="n">
        <x:f>1/(1+$D$23)^3</x:f>
        <x:v>0.7311913813009502</x:v>
      </x:c>
      <x:c r="G32" s="4" t="n">
        <x:f>1/(1+$D$23)^4</x:f>
        <x:v>0.6587309741450001</x:v>
      </x:c>
      <x:c r="H32" s="4" t="n">
        <x:f>1/(1+$D$23)^5</x:f>
        <x:v>0.5934513280585586</x:v>
      </x:c>
      <x:c r="I32" s="4"/>
      <x:c r="J32" s="1"/>
      <x:c r="K32" s="1"/>
      <x:c r="L32" s="1"/>
    </x:row>
    <x:row r="33" ht="22" customHeight="1">
      <x:c r="A33" s="1"/>
      <x:c r="B33" s="1"/>
      <x:c r="C33" s="1" t="str">
        <x:v>PV payout / EPS_2027</x:v>
      </x:c>
      <x:c r="D33" s="4" t="n">
        <x:f>D30*D31*D32</x:f>
        <x:v>0.5299417064122945</x:v>
      </x:c>
      <x:c r="E33" s="4" t="n">
        <x:f>E30*E31*E32</x:f>
        <x:v>0.5108447079830226</x:v>
      </x:c>
      <x:c r="F33" s="4" t="n">
        <x:f>F30*F31*F32</x:f>
        <x:v>0.4924358896773281</x:v>
      </x:c>
      <x:c r="G33" s="4" t="n">
        <x:f>G30*G31*G32</x:f>
        <x:v>0.4746904522114785</x:v>
      </x:c>
      <x:c r="H33" s="4" t="n">
        <x:f>H30*H31*H32</x:f>
        <x:v>0.45758448996962336</x:v>
      </x:c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PV payout / EPS_2027</x:v>
      </x:c>
      <x:c r="D36" s="4" t="n">
        <x:f>SUM(D33:H33)</x:f>
        <x:v>2.4654972462537468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/ EPS_2027</x:v>
      </x:c>
      <x:c r="D37" s="4" t="n">
        <x:f>H30*(1+D21)*D25/(1+D23)^5</x:f>
        <x:v>7.346773200067842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Justified forward PER</x:v>
      </x:c>
      <x:c r="D38" s="4" t="n">
        <x:f>D36+D37</x:f>
        <x:v>9.81227044632159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PER KRW/share</x:v>
      </x:c>
      <x:c r="D39" s="4" t="n">
        <x:f>D15*D38</x:f>
        <x:v>20359.078302587986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Diagnostics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2031 reinvestment / NOPAT</x:v>
      </x:c>
      <x:c r="D8" s="11" t="n">
        <x:f>(Forecast!I15-Forecast!I14+Forecast!I18)/Forecast!I13</x:f>
        <x:v>0.11350784282827199</x:v>
      </x:c>
      <x:c r="E8" s="4"/>
      <x:c r="F8" s="20" t="str">
        <x:v>Conditional stresses; main Base inputs remain selected.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2032 reinvestment / NOPAT</x:v>
      </x:c>
      <x:c r="D9" s="11" t="n">
        <x:f>Inputs!$D$11/Inputs!$D$12</x:f>
        <x:v>0.15384615384615385</x:v>
      </x:c>
      <x:c r="E9" s="4"/>
      <x:c r="F9" s="20"/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FCFF 2032 / 2031 - 1</x:v>
      </x:c>
      <x:c r="D10" s="11" t="n">
        <x:f>DCF!D17/Forecast!I19-1</x:f>
        <x:v>-0.026413357304264418</x:v>
      </x:c>
      <x:c r="E10" s="4"/>
      <x:c r="F10" s="20" t="str">
        <x:v>2032 investment transition can change FCFF discontinuously.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 t="str">
        <x:v>2031 parent ROE</x:v>
      </x:c>
      <x:c r="D11" s="11" t="n">
        <x:f>RIM!H9/RIM!H8</x:f>
        <x:v>0.11876639351074555</x:v>
      </x:c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 t="str">
        <x:v>2032 assumed parent ROE</x:v>
      </x:c>
      <x:c r="D12" s="11" t="n">
        <x:f>Inputs!$D$13</x:f>
        <x:v>0.12</x:v>
      </x:c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 t="str">
        <x:v>2031 net cash proxy capped at book</x:v>
      </x:c>
      <x:c r="D13" s="9" t="n">
        <x:f>MIN(MAX(Forecast!I26,0),Forecast!I25)</x:f>
        <x:v>211.60552277793002</x:v>
      </x:c>
      <x:c r="E13" s="4"/>
      <x:c r="F13" s="20" t="str">
        <x:v>Net cash proxy is not an audited operating-equity split.</x:v>
      </x:c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 t="str">
        <x:v>Cash proxy / parent book</x:v>
      </x:c>
      <x:c r="D14" s="11" t="n">
        <x:f>D13/Forecast!I25</x:f>
        <x:v>0.38526499288767546</x:v>
      </x:c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 t="str">
        <x:v>Cash split: terminal NI</x:v>
      </x:c>
      <x:c r="D15" s="9" t="n">
        <x:f>(Forecast!I25-D13)*Inputs!$D$13+D13*Inputs!$D$20</x:f>
        <x:v>45.807078342136876</x:v>
      </x:c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Cash split: terminal ROE</x:v>
      </x:c>
      <x:c r="D16" s="11" t="n">
        <x:f>D15/Forecast!I25</x:f>
        <x:v>0.08339982567567082</x:v>
      </x:c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 t="str">
        <x:v>RIM: no terminal excess ROE</x:v>
      </x:c>
      <x:c r="D17" s="9" t="n">
        <x:f>(RIM!D18+RIM!D19)*1000/'Cash Equity Bridge'!D23</x:f>
        <x:v>17720.4357656048</x:v>
      </x:c>
      <x:c r="E17" s="4"/>
      <x:c r="F17" s="20" t="str">
        <x:v>No excess ROE after the explicit forecast.</x:v>
      </x:c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RIM: cash split stress</x:v>
      </x:c>
      <x:c r="D18" s="9" t="n">
        <x:f>(RIM!D18+RIM!D19+(D15-Inputs!$D$10*Forecast!I25)/(Inputs!$D$10-Inputs!$D$11)/(1+Inputs!$D$10)^5)*1000/'Cash Equity Bridge'!D23</x:f>
        <x:v>13149.432929110973</x:v>
      </x:c>
      <x:c r="E18" s="4"/>
      <x:c r="F18" s="20" t="str">
        <x:v>Cash yield separated from residual-book ROE.</x:v>
      </x:c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 t="str">
        <x:v>DCF: terminal ROIC = WACC</x:v>
      </x:c>
      <x:c r="D19" s="9" t="n">
        <x:f>(DCF!D15+DCF!D16/Inputs!$D$9/(1+Inputs!$D$9)^5+DCF!D21+DCF!D22-DCF!D23)*1000/DCF!D25</x:f>
        <x:v>25402.469630326817</x:v>
      </x:c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 t="str">
        <x:v>DCF: excess ROIC value / share</x:v>
      </x:c>
      <x:c r="D20" s="9" t="n">
        <x:f>DCF!D26-D19</x:f>
        <x:v>703.525909740285</x:v>
      </x:c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 t="str">
        <x:v>Price hurdle: terminal FCFF bn</x:v>
      </x:c>
      <x:c r="D21" s="9" t="n">
        <x:f>(Inputs!$D$25*DCF!D25/1000-DCF!D21-DCF!D22+DCF!D23-DCF!D15)*(1+Inputs!$D$9)^5*(Inputs!$D$9-Inputs!$D$11)</x:f>
        <x:v>98.55999953231264</x:v>
      </x:c>
      <x:c r="E21" s="4"/>
      <x:c r="F21" s="20" t="str">
        <x:v>Reference price held unchanged at 2026 year-end.</x:v>
      </x:c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 t="str">
        <x:v>Price hurdle: terminal OP margin</x:v>
      </x:c>
      <x:c r="D22" s="11" t="n">
        <x:f>D21/(Forecast!I8*(1+Inputs!$D$11)*(1-Inputs!$D$19)*(1-Inputs!$D$11/Inputs!$D$12))</x:f>
        <x:v>0.4109843248016763</x:v>
      </x:c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 t="str">
        <x:v>Price hurdle: PER normal margin</x:v>
      </x:c>
      <x:c r="D23" s="11" t="n">
        <x:f>(Inputs!$D$25/PER!D38*DCF!D25/1000-DCF!D21*Inputs!$D$20)/(Forecast!E8*(1-Inputs!$D$19)*Forecast!E27)</x:f>
        <x:v>0.42259020953932586</x:v>
      </x:c>
      <x:c r="E23" s="4"/>
      <x:c r="F23" s="20" t="str">
        <x:v>Theoretical PER is fixed; not empirical peer PER.</x:v>
      </x:c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 t="str">
        <x:v>Margin reduction (percentage pts)</x:v>
      </x:c>
      <x:c r="D24" s="11" t="n">
        <x:f>Inputs!$D$60</x:f>
        <x:v>0.02</x:v>
      </x:c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 t="str">
        <x:v>Additional explicit CAPEX</x:v>
      </x:c>
      <x:c r="D25" s="11" t="n">
        <x:f>Inputs!$D$61</x:f>
        <x:v>0.2</x:v>
      </x:c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 t="str">
        <x:v>DCF: margin reduction stress</x:v>
      </x:c>
      <x:c r="D27" s="9" t="n">
        <x:f>DCF!D26-(Forecast!E8/(1+Inputs!$D$9)^1+Forecast!F8/(1+Inputs!$D$9)^2+Forecast!G8/(1+Inputs!$D$9)^3+Forecast!H8/(1+Inputs!$D$9)^4+Forecast!I8/(1+Inputs!$D$9)^5+Forecast!I8*(1+Inputs!$D$11)*(1-Inputs!$D$11/Inputs!$D$12)/(Inputs!$D$9-Inputs!$D$11)/(1+Inputs!$D$9)^5)*D24*(1-Inputs!$D$19)*1000/DCF!D25</x:f>
        <x:v>23609.919086163096</x:v>
      </x:c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 t="str">
        <x:v>DCF: additional CAPEX stress</x:v>
      </x:c>
      <x:c r="D28" s="9" t="n">
        <x:f>DCF!D26-(Forecast!E15/(1+Inputs!$D$9)^1+Forecast!F15/(1+Inputs!$D$9)^2+Forecast!G15/(1+Inputs!$D$9)^3+Forecast!H15/(1+Inputs!$D$9)^4+Forecast!I15/(1+Inputs!$D$9)^5)*D25*1000/DCF!D25</x:f>
        <x:v>25089.8246066975</x:v>
      </x:c>
      <x:c r="E28" s="4"/>
      <x:c r="F28" s="20" t="str">
        <x:v>No benefit to earnings, D&amp;A or terminal from extra CAPEX.</x:v>
      </x:c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 t="str">
        <x:v>DCF: explicit FCFF / share</x:v>
      </x:c>
      <x:c r="D30" s="9" t="n">
        <x:f>DCF!D15*1000/DCF!D25</x:f>
        <x:v>6864.427062185699</x:v>
      </x:c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 t="str">
        <x:v>DCF: terminal value / share</x:v>
      </x:c>
      <x:c r="D31" s="9" t="n">
        <x:f>DCF!D19*1000/DCF!D25</x:f>
        <x:v>16251.448515000478</x:v>
      </x:c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 t="str">
        <x:v>DCF: net cash / share</x:v>
      </x:c>
      <x:c r="D32" s="9" t="n">
        <x:f>DCF!D21*1000/DCF!D25</x:f>
        <x:v>3041.356591470648</x:v>
      </x:c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 t="str">
        <x:v>DCF: nonop less NCI / share</x:v>
      </x:c>
      <x:c r="D33" s="9" t="n">
        <x:f>(DCF!D22-DCF!D23)*1000/DCF!D25</x:f>
        <x:v>-51.236628589729904</x:v>
      </x:c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 t="str">
        <x:v>PER: terminal PV / total value</x:v>
      </x:c>
      <x:c r="D34" s="11" t="n">
        <x:f>PER!D37/PER!D38</x:f>
        <x:v>0.7487332560041688</x:v>
      </x:c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PER and RIM share DDM assumptions; not independent market evidence.</x:v>
      </x:c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Special Cases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6" t="str">
        <x:v>Economic assumption review</x:v>
      </x:c>
      <x:c r="D7" s="16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DCF: remaining EB exchanged</x:v>
      </x:c>
      <x:c r="D8" s="9" t="n">
        <x:f>(DCF!D24+Inputs!$D$62)*1000/(DCF!D25+Inputs!$D$63)</x:f>
        <x:v>26457.04636997145</x:v>
      </x:c>
      <x:c r="E8" s="4"/>
      <x:c r="F8" s="20" t="str">
        <x:v>Debt release and economic share count change together.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EUV hurdle: added FCFF in 2032</x:v>
      </x:c>
      <x:c r="D9" s="9" t="n">
        <x:f>MAX(Inputs!$D$25*DCF!D25/1000-DCF!D24,0)*(1+Inputs!$D$9)^5*(Inputs!$D$9-Inputs!$D$11)</x:f>
        <x:v>50.59709993516935</x:v>
      </x:c>
      <x:c r="E9" s="4"/>
      <x:c r="F9" s="20" t="str">
        <x:v>Added FCFF begins in 2032; earlier contributions = 0.</x:v>
      </x:c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EUV hurdle: revenue at 20% FCF</x:v>
      </x:c>
      <x:c r="D10" s="9" t="n">
        <x:f>D9/Inputs!$D$64</x:f>
        <x:v>252.9854996758467</x:v>
      </x:c>
      <x:c r="E10" s="4"/>
      <x:c r="F10" s="20" t="str">
        <x:v>Illustrative FCF margins, not observed EUV economics.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 t="str">
        <x:v>EUV hurdle: revenue at 30% FCF</x:v>
      </x:c>
      <x:c r="D11" s="9" t="n">
        <x:f>D9/Inputs!$D$65</x:f>
        <x:v>168.65699978389782</x:v>
      </x:c>
      <x:c r="E11" s="4"/>
      <x:c r="F11" s="20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/>
      <x:c r="D12" s="4"/>
      <x:c r="E12" s="4"/>
      <x:c r="F12" s="20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/>
      <x:c r="D13" s="4"/>
      <x:c r="E13" s="4"/>
      <x:c r="F13" s="20"/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/>
      <x:c r="D14" s="4"/>
      <x:c r="E14" s="4"/>
      <x:c r="F14" s="20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/>
      <x:c r="D15" s="4"/>
      <x:c r="E15" s="4"/>
      <x:c r="F15" s="20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All special cases are local sensitivities, not company guidance.</x:v>
      </x:c>
      <x:c r="D16" s="4"/>
      <x:c r="E16" s="4"/>
      <x:c r="F16" s="20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/>
      <x:c r="D17" s="4"/>
      <x:c r="E17" s="4"/>
      <x:c r="F17" s="20"/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Units: KRW bn / shares mn / prices KRW. See report section 11.</x:v>
      </x:c>
      <x:c r="D18" s="4"/>
      <x:c r="E18" s="4"/>
      <x:c r="F18" s="20"/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/>
      <x:c r="D19" s="4"/>
      <x:c r="E19" s="4"/>
      <x:c r="F19" s="20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/>
      <x:c r="D20" s="4"/>
      <x:c r="E20" s="4"/>
      <x:c r="F20" s="20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/>
      <x:c r="D21" s="4"/>
      <x:c r="E21" s="4"/>
      <x:c r="F21" s="20"/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/>
      <x:c r="D22" s="4"/>
      <x:c r="E22" s="4"/>
      <x:c r="F22" s="20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/>
      <x:c r="D23" s="4"/>
      <x:c r="E23" s="4"/>
      <x:c r="F23" s="20"/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/>
      <x:c r="D24" s="4"/>
      <x:c r="E24" s="4"/>
      <x:c r="F24" s="20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/>
      <x:c r="D25" s="4"/>
      <x:c r="E25" s="4"/>
      <x:c r="F25" s="20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0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/>
      <x:c r="D27" s="4"/>
      <x:c r="E27" s="4"/>
      <x:c r="F27" s="20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/>
      <x:c r="D28" s="4"/>
      <x:c r="E28" s="4"/>
      <x:c r="F28" s="20"/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0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/>
      <x:c r="D30" s="4"/>
      <x:c r="E30" s="4"/>
      <x:c r="F30" s="20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/>
      <x:c r="D31" s="4"/>
      <x:c r="E31" s="4"/>
      <x:c r="F31" s="20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/>
      <x:c r="D32" s="4"/>
      <x:c r="E32" s="4"/>
      <x:c r="F32" s="20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/>
      <x:c r="D33" s="4"/>
      <x:c r="E33" s="4"/>
      <x:c r="F33" s="20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/>
      <x:c r="D34" s="4"/>
      <x:c r="E34" s="4"/>
      <x:c r="F34" s="20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